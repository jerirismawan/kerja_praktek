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3.xml" ContentType="application/vnd.ms-excel.macro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trlProps/ctrlProp1.xml" ContentType="application/vnd.ms-excel.controlproperties+xml"/>
  <Override PartName="/xl/drawings/drawing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1\semester 7\PROPOSAL KP\JERI RISMAWAN NIM 311150003\"/>
    </mc:Choice>
  </mc:AlternateContent>
  <bookViews>
    <workbookView xWindow="0" yWindow="0" windowWidth="20490" windowHeight="7755" firstSheet="1" activeTab="3"/>
  </bookViews>
  <sheets>
    <sheet name="Macro1" sheetId="10" r:id="rId1"/>
    <sheet name="Macro3" sheetId="12" r:id="rId2"/>
    <sheet name="data_diri_siswa" sheetId="1" r:id="rId3"/>
    <sheet name="HOME" sheetId="9" r:id="rId4"/>
    <sheet name="ABSEN 7a" sheetId="5" state="hidden" r:id="rId5"/>
    <sheet name="ABSEN 7B" sheetId="6" state="hidden" r:id="rId6"/>
    <sheet name="Macro2" sheetId="11" r:id="rId7"/>
    <sheet name="Data_nilai_siswa" sheetId="4" r:id="rId8"/>
    <sheet name="REPOT_NILAI_PERSISWA" sheetId="7" r:id="rId9"/>
    <sheet name="kartu_siswa" sheetId="8" r:id="rId10"/>
    <sheet name="data_perkelas" sheetId="3" state="hidden" r:id="rId11"/>
  </sheets>
  <definedNames>
    <definedName name="_xlnm._FilterDatabase" localSheetId="2" hidden="1">data_diri_siswa!$A$7:$K$70</definedName>
    <definedName name="_xlnm._FilterDatabase" localSheetId="7" hidden="1">Data_nilai_siswa!$A$7:$Q$188</definedName>
    <definedName name="DATA">data_diri_siswa!$A$1:$K$239</definedName>
    <definedName name="kelas">data_diri_siswa!$H$7:$H$256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1" i="4" l="1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C40" i="6" l="1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D9" i="6"/>
  <c r="C9" i="6"/>
  <c r="B9" i="6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B4" i="5"/>
</calcChain>
</file>

<file path=xl/sharedStrings.xml><?xml version="1.0" encoding="utf-8"?>
<sst xmlns="http://schemas.openxmlformats.org/spreadsheetml/2006/main" count="2228" uniqueCount="360">
  <si>
    <t>Nama lengkap</t>
  </si>
  <si>
    <t>tempat lahir</t>
  </si>
  <si>
    <t>tgl lahir</t>
  </si>
  <si>
    <t>jenis kelamin</t>
  </si>
  <si>
    <t>Alamat</t>
  </si>
  <si>
    <t>NISN</t>
  </si>
  <si>
    <t>nama ibu</t>
  </si>
  <si>
    <t>penghasilan orang tua</t>
  </si>
  <si>
    <t>AGAMA</t>
  </si>
  <si>
    <t>KELAS</t>
  </si>
  <si>
    <t>Agama</t>
  </si>
  <si>
    <t>Kelas</t>
  </si>
  <si>
    <t>nama ayah</t>
  </si>
  <si>
    <t>Penghasilan orang tua</t>
  </si>
  <si>
    <t>7A</t>
  </si>
  <si>
    <t>TINKAT KELAS :</t>
  </si>
  <si>
    <t/>
  </si>
  <si>
    <t>Ajeng Yusniarni Apriyanti</t>
  </si>
  <si>
    <t>ANDIKA NUGRAHA</t>
  </si>
  <si>
    <t>ANDRI ANDRIAN</t>
  </si>
  <si>
    <t>ANGGI AL-ZIFARI</t>
  </si>
  <si>
    <t>Anisa Fitriani Solehah</t>
  </si>
  <si>
    <t>ANJALITA</t>
  </si>
  <si>
    <t>Ariya Nugraha</t>
  </si>
  <si>
    <t>BAGUS MULYADI</t>
  </si>
  <si>
    <t>Dede Somantri</t>
  </si>
  <si>
    <t>DENI RAHDIANSYAH</t>
  </si>
  <si>
    <t>FANI JULIANTI</t>
  </si>
  <si>
    <t>FIRMANSYAH</t>
  </si>
  <si>
    <t>FRISCKA TRESNALIA SUKMA</t>
  </si>
  <si>
    <t>ILHAM BINTANG KARISMA</t>
  </si>
  <si>
    <t>Mutiara Nurlaelani</t>
  </si>
  <si>
    <t>NOOR KAMAL</t>
  </si>
  <si>
    <t>Rangga Akbar Suryana</t>
  </si>
  <si>
    <t>RENDI FERDIANSYAH</t>
  </si>
  <si>
    <t>RIGITA AUDIRA PUTRI</t>
  </si>
  <si>
    <t>Riswandi</t>
  </si>
  <si>
    <t>Rizki Saeful Rohman</t>
  </si>
  <si>
    <t>ROBI ANUGRAH</t>
  </si>
  <si>
    <t>SAFITRI</t>
  </si>
  <si>
    <t>SIPA NOVIA</t>
  </si>
  <si>
    <t>Siva Nur Anisa</t>
  </si>
  <si>
    <t>Surya Andika Nurrahman</t>
  </si>
  <si>
    <t>TAUFIK HIDAYAT</t>
  </si>
  <si>
    <t>Vioni Manda Agustin</t>
  </si>
  <si>
    <t>JK</t>
  </si>
  <si>
    <t>AHMAD FADILAH</t>
  </si>
  <si>
    <t>ANDHIKA SYANJAYA</t>
  </si>
  <si>
    <t>ANDRIANSYAH</t>
  </si>
  <si>
    <t>AYU WULANDARI</t>
  </si>
  <si>
    <t>CINDY DARYANTI</t>
  </si>
  <si>
    <t>DANI RAMDANI</t>
  </si>
  <si>
    <t>DARA YOLITA RAMADATI</t>
  </si>
  <si>
    <t>DEMIRA</t>
  </si>
  <si>
    <t>DEVAL KURNIANSYAH</t>
  </si>
  <si>
    <t>FADILLAH RAFI ATMAJA SANTOSA</t>
  </si>
  <si>
    <t>FARIZ BACHAR</t>
  </si>
  <si>
    <t>Fitriani</t>
  </si>
  <si>
    <t>HANNISA NUR ILMI</t>
  </si>
  <si>
    <t>INDRA SAHRUL</t>
  </si>
  <si>
    <t>Ipan Kurniawan</t>
  </si>
  <si>
    <t>JALU MAULANA ISMAYA</t>
  </si>
  <si>
    <t>KIKI KURNIAWAN</t>
  </si>
  <si>
    <t>MUHAMAD IRFAN TRYAN HAFID</t>
  </si>
  <si>
    <t>NINA ROSMAWATI</t>
  </si>
  <si>
    <t>RIKA WULAN SARI</t>
  </si>
  <si>
    <t>RIKI FIRMANSYAH</t>
  </si>
  <si>
    <t>RIZKI KEMAL PRATAMA</t>
  </si>
  <si>
    <t>RIZQI FAJRIL HADI</t>
  </si>
  <si>
    <t>SAIFUL RAHMAN</t>
  </si>
  <si>
    <t>Shifa Nurfadillah</t>
  </si>
  <si>
    <t>SITI NURAENI</t>
  </si>
  <si>
    <t>Susanti</t>
  </si>
  <si>
    <t>TASYA NUR PERTIWI</t>
  </si>
  <si>
    <t>WANDI SUTIAWAN</t>
  </si>
  <si>
    <t>WULAN</t>
  </si>
  <si>
    <t>YAYAH ROHMAYANTI</t>
  </si>
  <si>
    <t>L</t>
  </si>
  <si>
    <t>P</t>
  </si>
  <si>
    <t>7B</t>
  </si>
  <si>
    <t>TAHUN AJARAN 2017-2018</t>
  </si>
  <si>
    <t>JL.Raya Banjaran-Pangalengan NO.545</t>
  </si>
  <si>
    <t>DATA SISWA SMP YAHAS</t>
  </si>
  <si>
    <t>NAMA</t>
  </si>
  <si>
    <t>PAI</t>
  </si>
  <si>
    <t>PKN</t>
  </si>
  <si>
    <t>B.INDONESIA</t>
  </si>
  <si>
    <t>TIK</t>
  </si>
  <si>
    <t>PENJASKES</t>
  </si>
  <si>
    <t>B.INGGRIS</t>
  </si>
  <si>
    <t>MATEMATIKA</t>
  </si>
  <si>
    <t>IPS</t>
  </si>
  <si>
    <t>IPA</t>
  </si>
  <si>
    <t>seni budaya</t>
  </si>
  <si>
    <t>Mulok</t>
  </si>
  <si>
    <t>Pengemb. diri</t>
  </si>
  <si>
    <t>DAFTAR HADIR SISWA</t>
  </si>
  <si>
    <t>SMP YAHAS BANJARAN</t>
  </si>
  <si>
    <t>TAHUN PELAJARAN 2017/2018</t>
  </si>
  <si>
    <t>NOMOR</t>
  </si>
  <si>
    <t>NAMA SISWA</t>
  </si>
  <si>
    <t>L/P</t>
  </si>
  <si>
    <t>Bulan September 2017</t>
  </si>
  <si>
    <t>URUT</t>
  </si>
  <si>
    <t>NISN / NIS</t>
  </si>
  <si>
    <t>Tanggal</t>
  </si>
  <si>
    <t>Keterangan</t>
  </si>
  <si>
    <t>S</t>
  </si>
  <si>
    <t>Sakit</t>
  </si>
  <si>
    <t>I</t>
  </si>
  <si>
    <t>Izin</t>
  </si>
  <si>
    <t>A</t>
  </si>
  <si>
    <t>Alpa</t>
  </si>
  <si>
    <t>Laki-Laki</t>
  </si>
  <si>
    <t>:  21 Orang</t>
  </si>
  <si>
    <t>Perempuan</t>
  </si>
  <si>
    <t>:  14 Orang</t>
  </si>
  <si>
    <t>Jumlah</t>
  </si>
  <si>
    <t>:  35 Orang</t>
  </si>
  <si>
    <t>Kelas   :</t>
  </si>
  <si>
    <t>NO</t>
  </si>
  <si>
    <t>Jenis Rombel: Kelas Utama - Nama Rombel: 7B - Semester Ganjil - Wali Kelas: Siti Rita Ayu Asih</t>
  </si>
  <si>
    <t>:  18 Orang</t>
  </si>
  <si>
    <t>:  32 Orang</t>
  </si>
  <si>
    <t>.</t>
  </si>
  <si>
    <t>Bahasa daerah</t>
  </si>
  <si>
    <t>Mata PELAJARAN</t>
  </si>
  <si>
    <t>ADITYA PRYAMBUDI GUNAWAN</t>
  </si>
  <si>
    <t>AFRIL AULIA</t>
  </si>
  <si>
    <t>ALDI FIRMANSYAH</t>
  </si>
  <si>
    <t>AMELIA SAPIRA</t>
  </si>
  <si>
    <t>Asep Wahyudin</t>
  </si>
  <si>
    <t>AULIA NURUL KHOTIMAH</t>
  </si>
  <si>
    <t>Daniel Dwi Andrian</t>
  </si>
  <si>
    <t>DESYA ZAHRO NURASYIFA</t>
  </si>
  <si>
    <t>ELSA WULANDARI</t>
  </si>
  <si>
    <t>ELVINA DAMAYANTI</t>
  </si>
  <si>
    <t>FAJAR IRAWAN</t>
  </si>
  <si>
    <t>IMAS MASRIAH</t>
  </si>
  <si>
    <t>INE NURBAENI</t>
  </si>
  <si>
    <t>IRFAN ALI SABAN</t>
  </si>
  <si>
    <t>LUTVI REZIKA</t>
  </si>
  <si>
    <t>MILA KARMILA</t>
  </si>
  <si>
    <t>MUHAMAD AZI YUSUP</t>
  </si>
  <si>
    <t>MUHAMMAD RIZKI</t>
  </si>
  <si>
    <t>NENG ANISA PUSPITA SARI</t>
  </si>
  <si>
    <t>NOVI HIDAYATI</t>
  </si>
  <si>
    <t>RANDI MARTIN ARIS MUNANDAR</t>
  </si>
  <si>
    <t>RENALDY LAKSANA PUTRA</t>
  </si>
  <si>
    <t>Rika Kartika</t>
  </si>
  <si>
    <t>RISKI MUHAMAD ASYAH</t>
  </si>
  <si>
    <t>RIZKI SULAEMAN</t>
  </si>
  <si>
    <t>SABDA WASKITA</t>
  </si>
  <si>
    <t>SILPA</t>
  </si>
  <si>
    <t>SITI MARYATI</t>
  </si>
  <si>
    <t>SULASTRI</t>
  </si>
  <si>
    <t>ZAKY RAMADHAN</t>
  </si>
  <si>
    <t>8A</t>
  </si>
  <si>
    <t>Amelia Pasya</t>
  </si>
  <si>
    <t>ANISA SAFITRI</t>
  </si>
  <si>
    <t>Anita Rohimah</t>
  </si>
  <si>
    <t>ARPA RIVALDI</t>
  </si>
  <si>
    <t>BRISA ANJANI</t>
  </si>
  <si>
    <t>DANI ABDUL SAEPULOH</t>
  </si>
  <si>
    <t>DAVID VICKY INDRA LESMANA</t>
  </si>
  <si>
    <t>DESI NOPIYANTI ISWADI PUTRI</t>
  </si>
  <si>
    <t>DEWI ANGGRAENI</t>
  </si>
  <si>
    <t>Erni Susanti</t>
  </si>
  <si>
    <t>FENTI FEBRIAN A.</t>
  </si>
  <si>
    <t>GINGIN GINASTIAR</t>
  </si>
  <si>
    <t>IRFAN ADRIANSYAH</t>
  </si>
  <si>
    <t>JUJUN</t>
  </si>
  <si>
    <t>Luthfiah Rahma</t>
  </si>
  <si>
    <t>MARWAN DARMAWAN</t>
  </si>
  <si>
    <t>MUTIARA PUTRI WARDANI</t>
  </si>
  <si>
    <t>NASRUL MUTAQIN</t>
  </si>
  <si>
    <t>NISA NUR FITRI ROSDINA</t>
  </si>
  <si>
    <t>Nursipa</t>
  </si>
  <si>
    <t>RENDI PURNAMA</t>
  </si>
  <si>
    <t>REVI MUHAMAD MUSLIM</t>
  </si>
  <si>
    <t>RIZKI WAHYUDIN</t>
  </si>
  <si>
    <t>Septiani</t>
  </si>
  <si>
    <t>SITI NURHALIZAH</t>
  </si>
  <si>
    <t>TARI NUR HAYATI</t>
  </si>
  <si>
    <t>Taupik Hidyat</t>
  </si>
  <si>
    <t>WANDI RAMDANI</t>
  </si>
  <si>
    <t>YOSIA WILLIAM</t>
  </si>
  <si>
    <t>8B</t>
  </si>
  <si>
    <t>ADE IQBAL</t>
  </si>
  <si>
    <t>AGUS SUTIAWAN</t>
  </si>
  <si>
    <t>AMELIA IRA MAGVIROH</t>
  </si>
  <si>
    <t>ANGGA WIJAYA</t>
  </si>
  <si>
    <t>ASEP FERDIANSYAH</t>
  </si>
  <si>
    <t>ASTI NUR AINILAH</t>
  </si>
  <si>
    <t>BUDI SETIAWAN</t>
  </si>
  <si>
    <t>CECEP SUJAYA</t>
  </si>
  <si>
    <t>DEDE OMAN</t>
  </si>
  <si>
    <t>DENI MUHAMMAD RAMADHAN</t>
  </si>
  <si>
    <t>DIAH HANIPAH</t>
  </si>
  <si>
    <t>DINI CAHYANI</t>
  </si>
  <si>
    <t>FADILAH RAMDANI</t>
  </si>
  <si>
    <t>IPAN HERMAWAN</t>
  </si>
  <si>
    <t>LIBRANSYAH</t>
  </si>
  <si>
    <t>LILIS SUMARNI</t>
  </si>
  <si>
    <t>MALIK FAJAR</t>
  </si>
  <si>
    <t>MUHAMAD MARTIN</t>
  </si>
  <si>
    <t>MUHAMMAD NURDIN</t>
  </si>
  <si>
    <t>NURHAMIDAH</t>
  </si>
  <si>
    <t>RANI ROSMIATI</t>
  </si>
  <si>
    <t>RIKA RIFANI</t>
  </si>
  <si>
    <t>RISKA ROSMAWATI</t>
  </si>
  <si>
    <t>RIZKI PERMADI</t>
  </si>
  <si>
    <t>ROSVINA DAMAYANTI</t>
  </si>
  <si>
    <t>SARTIKA</t>
  </si>
  <si>
    <t>SITI MARYAM</t>
  </si>
  <si>
    <t>SOPYAN SAEPULOH</t>
  </si>
  <si>
    <t>TRIA NATALIA</t>
  </si>
  <si>
    <t>YUNI YUNENGSIH</t>
  </si>
  <si>
    <t>YUSUP RENALDI</t>
  </si>
  <si>
    <t>9A</t>
  </si>
  <si>
    <t>ADE ROHANDI</t>
  </si>
  <si>
    <t>AHMAD SODIKIN</t>
  </si>
  <si>
    <t>Anisa Wulan Sari</t>
  </si>
  <si>
    <t>ANJANA</t>
  </si>
  <si>
    <t>ASEP KRISTIAN</t>
  </si>
  <si>
    <t>BONITA AGUSTINA</t>
  </si>
  <si>
    <t>CANDRA NUGRAHA</t>
  </si>
  <si>
    <t>CICI YULIA</t>
  </si>
  <si>
    <t>DENDY ERVIN DWITAMA</t>
  </si>
  <si>
    <t>DENI SOLIHIN</t>
  </si>
  <si>
    <t>ENDANG FARIDA</t>
  </si>
  <si>
    <t>FAJAR ARIEP RAMADHAN</t>
  </si>
  <si>
    <t>INDRI PUSPITASARI</t>
  </si>
  <si>
    <t>KARENALDI</t>
  </si>
  <si>
    <t>MAHPUDIN</t>
  </si>
  <si>
    <t>MIFTAH HASAN MAULANA</t>
  </si>
  <si>
    <t>MUHAMAD RIDWAN</t>
  </si>
  <si>
    <t>NENI HAYATI</t>
  </si>
  <si>
    <t>PUSPITA NURHENI</t>
  </si>
  <si>
    <t>RANGGA RAMADHAN</t>
  </si>
  <si>
    <t>REZA ERNANDA</t>
  </si>
  <si>
    <t>REZA FAUZI</t>
  </si>
  <si>
    <t>REZA JULIANTI</t>
  </si>
  <si>
    <t>RIAN NUGRAHA</t>
  </si>
  <si>
    <t>RINA HASANAH</t>
  </si>
  <si>
    <t>SINTA NADILLA</t>
  </si>
  <si>
    <t>SOPIAN</t>
  </si>
  <si>
    <t>TINA JULIANA</t>
  </si>
  <si>
    <t>YESI APRIANI</t>
  </si>
  <si>
    <t>9B</t>
  </si>
  <si>
    <t>=IFERROR(INDEX(DATA;SMALL(IF(KELAS=$C$5;ROW(KELAS));ROW(B1));4);""))</t>
  </si>
  <si>
    <t>DATA NILAI SISWA</t>
  </si>
  <si>
    <t>SMP YAHAS</t>
  </si>
  <si>
    <t>JL.Raya banjaran-pangalengan No.545 Tlp: 022-85934895</t>
  </si>
  <si>
    <t>REPOT DATA NILAI PERSISWA</t>
  </si>
  <si>
    <t>AGIL</t>
  </si>
  <si>
    <t>RD. GANDHARA AZFA A.K</t>
  </si>
  <si>
    <t>14501001</t>
  </si>
  <si>
    <t>NIS</t>
  </si>
  <si>
    <t>14501002</t>
  </si>
  <si>
    <t>KARTU SISWA</t>
  </si>
  <si>
    <t xml:space="preserve">islam </t>
  </si>
  <si>
    <t>yayah</t>
  </si>
  <si>
    <t>_____________________________________________________________</t>
  </si>
  <si>
    <t>14501008</t>
  </si>
  <si>
    <t>7</t>
  </si>
  <si>
    <t>8</t>
  </si>
  <si>
    <t>JUMLAH NILAI</t>
  </si>
  <si>
    <t>NILAI       RATA-RATA</t>
  </si>
  <si>
    <t>Bandung</t>
  </si>
  <si>
    <t>kp. margahurip rt.2/rw.01</t>
  </si>
  <si>
    <t>islam</t>
  </si>
  <si>
    <t>soeherman</t>
  </si>
  <si>
    <t>dedeh</t>
  </si>
  <si>
    <t>kp. citeureup rt.04/rw01</t>
  </si>
  <si>
    <t>dadan</t>
  </si>
  <si>
    <t>santi</t>
  </si>
  <si>
    <t>kp. citeureup,rt.04/rw.01</t>
  </si>
  <si>
    <t>parman</t>
  </si>
  <si>
    <t>Kp. citeureup,rt.04/rw.01</t>
  </si>
  <si>
    <t>sandi</t>
  </si>
  <si>
    <t>nissa</t>
  </si>
  <si>
    <t>Tasikmalaya</t>
  </si>
  <si>
    <t>kp. astaraja,rt.02/rw.09</t>
  </si>
  <si>
    <t>bangbang</t>
  </si>
  <si>
    <t>sarah</t>
  </si>
  <si>
    <t>kp. citeureup.rt.02/rw.04</t>
  </si>
  <si>
    <t>agus</t>
  </si>
  <si>
    <t>yati</t>
  </si>
  <si>
    <t>santosa</t>
  </si>
  <si>
    <t>ani</t>
  </si>
  <si>
    <t>kp. citeureup.rt.04/rw.04</t>
  </si>
  <si>
    <t>endik</t>
  </si>
  <si>
    <t>risma</t>
  </si>
  <si>
    <t>kp. citeureup.rt.04/rw.01</t>
  </si>
  <si>
    <t>herman</t>
  </si>
  <si>
    <t>Garut</t>
  </si>
  <si>
    <t>kp. citeureup.rt.02/rw.11</t>
  </si>
  <si>
    <t>jamil</t>
  </si>
  <si>
    <t>siti</t>
  </si>
  <si>
    <t>kp. Margahurip rt.02/rw.01</t>
  </si>
  <si>
    <t>jajang</t>
  </si>
  <si>
    <t>jujuh</t>
  </si>
  <si>
    <t>kp. Citeureup rt.03/rw.09</t>
  </si>
  <si>
    <t>gani</t>
  </si>
  <si>
    <t>lilis</t>
  </si>
  <si>
    <t>kp. Citeureup rt.01/rw.11</t>
  </si>
  <si>
    <t>budi</t>
  </si>
  <si>
    <t>novi</t>
  </si>
  <si>
    <t>kp. Citeureup rt.02/rw.04</t>
  </si>
  <si>
    <t>suparman</t>
  </si>
  <si>
    <t>atikah</t>
  </si>
  <si>
    <t>kp. Citeureup rt.04/rw.04</t>
  </si>
  <si>
    <t>anissa</t>
  </si>
  <si>
    <t>Jakarta</t>
  </si>
  <si>
    <t>aman</t>
  </si>
  <si>
    <t>susanti</t>
  </si>
  <si>
    <t>kp. Bugel rt.04/rw.05</t>
  </si>
  <si>
    <t>aye</t>
  </si>
  <si>
    <t>kp.citeureup rt.04/rw.07</t>
  </si>
  <si>
    <t>nadi</t>
  </si>
  <si>
    <t>kp.citeureup rt.03/rw.01</t>
  </si>
  <si>
    <t>samsul</t>
  </si>
  <si>
    <t>aat</t>
  </si>
  <si>
    <t>kp. Taraju rt.01/rw.03</t>
  </si>
  <si>
    <t>asep</t>
  </si>
  <si>
    <t>dini</t>
  </si>
  <si>
    <t>salman</t>
  </si>
  <si>
    <t>ika</t>
  </si>
  <si>
    <t>kp. Citeureup rt.04/rw.01</t>
  </si>
  <si>
    <t>joehar</t>
  </si>
  <si>
    <t>ai</t>
  </si>
  <si>
    <t>dani</t>
  </si>
  <si>
    <t>asri</t>
  </si>
  <si>
    <t>edang</t>
  </si>
  <si>
    <t>yuyun</t>
  </si>
  <si>
    <t>kp. Margahurip rt.03/rw.01</t>
  </si>
  <si>
    <t>yayat</t>
  </si>
  <si>
    <t>teni</t>
  </si>
  <si>
    <t>nanang</t>
  </si>
  <si>
    <t>imas</t>
  </si>
  <si>
    <t>suharto</t>
  </si>
  <si>
    <t>seni</t>
  </si>
  <si>
    <t>basuki</t>
  </si>
  <si>
    <t>yani</t>
  </si>
  <si>
    <t>endut</t>
  </si>
  <si>
    <t>ana</t>
  </si>
  <si>
    <t>wawan</t>
  </si>
  <si>
    <t>fitri</t>
  </si>
  <si>
    <t>cucu</t>
  </si>
  <si>
    <t>juli</t>
  </si>
  <si>
    <t>sulaeman</t>
  </si>
  <si>
    <t>meli</t>
  </si>
  <si>
    <t>ate</t>
  </si>
  <si>
    <t>wiwin</t>
  </si>
  <si>
    <t>saefudin</t>
  </si>
  <si>
    <t>elin</t>
  </si>
  <si>
    <t xml:space="preserve"> L</t>
  </si>
  <si>
    <t>14501003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</si>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</sst>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[$Rp-421]* #,##0.00_);_([$Rp-421]* \(#,##0.00\);_([$Rp-421]* &quot;-&quot;??_);_(@_)"/>
    <numFmt numFmtId="165" formatCode="[$-F800]dddd\,\ mmmm\ dd\,\ yyyy"/>
    <numFmt numFmtId="166" formatCode="&quot;Rp&quot;#,##0"/>
  </numFmts>
  <fonts count="22" x14ac:knownFonts="1">
    <font>
      <sz val="11"/>
      <color theme="1"/>
      <name val="Calibri"/>
      <family val="2"/>
      <charset val="1"/>
      <scheme val="minor"/>
    </font>
    <font>
      <sz val="10"/>
      <color indexed="8"/>
      <name val="Calibri"/>
      <family val="2"/>
    </font>
    <font>
      <sz val="10"/>
      <name val="Book Antiqua"/>
      <family val="1"/>
    </font>
    <font>
      <sz val="10"/>
      <name val="Arial"/>
      <family val="2"/>
    </font>
    <font>
      <sz val="8"/>
      <name val="Arial"/>
      <family val="2"/>
    </font>
    <font>
      <sz val="20"/>
      <color theme="1"/>
      <name val="Calibri"/>
      <family val="2"/>
      <charset val="1"/>
      <scheme val="minor"/>
    </font>
    <font>
      <sz val="26"/>
      <color theme="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  <font>
      <b/>
      <sz val="12"/>
      <color indexed="8"/>
      <name val="Book Antiqua"/>
      <family val="1"/>
    </font>
    <font>
      <b/>
      <sz val="9"/>
      <name val="Book Antiqua"/>
      <family val="1"/>
    </font>
    <font>
      <b/>
      <sz val="10"/>
      <name val="Book Antiqua"/>
      <family val="1"/>
    </font>
    <font>
      <sz val="11"/>
      <color indexed="8"/>
      <name val="Calibri"/>
      <family val="2"/>
      <charset val="1"/>
    </font>
    <font>
      <sz val="10"/>
      <color indexed="8"/>
      <name val="Calibri"/>
      <family val="2"/>
      <charset val="1"/>
    </font>
    <font>
      <b/>
      <sz val="10"/>
      <color indexed="8"/>
      <name val="Calibri"/>
      <family val="2"/>
    </font>
    <font>
      <b/>
      <sz val="10"/>
      <color indexed="10"/>
      <name val="Book Antiqua"/>
      <family val="1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sz val="16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16"/>
      <color theme="1"/>
      <name val="Arial"/>
      <family val="2"/>
    </font>
    <font>
      <u/>
      <sz val="16"/>
      <color theme="1"/>
      <name val="Sitka Heading"/>
    </font>
    <font>
      <sz val="11"/>
      <color theme="0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3" fillId="0" borderId="0"/>
    <xf numFmtId="0" fontId="3" fillId="0" borderId="0"/>
    <xf numFmtId="0" fontId="11" fillId="0" borderId="0"/>
  </cellStyleXfs>
  <cellXfs count="175">
    <xf numFmtId="0" fontId="0" fillId="0" borderId="0" xfId="0"/>
    <xf numFmtId="0" fontId="0" fillId="0" borderId="0" xfId="0" applyAlignment="1">
      <alignment horizontal="center" vertical="center" wrapText="1"/>
    </xf>
    <xf numFmtId="49" fontId="0" fillId="0" borderId="0" xfId="0" applyNumberFormat="1" applyAlignment="1"/>
    <xf numFmtId="0" fontId="0" fillId="0" borderId="0" xfId="0" applyBorder="1"/>
    <xf numFmtId="0" fontId="0" fillId="3" borderId="1" xfId="0" applyFill="1" applyBorder="1"/>
    <xf numFmtId="14" fontId="0" fillId="3" borderId="1" xfId="0" applyNumberFormat="1" applyFill="1" applyBorder="1"/>
    <xf numFmtId="49" fontId="0" fillId="3" borderId="1" xfId="0" applyNumberFormat="1" applyFill="1" applyBorder="1" applyAlignment="1"/>
    <xf numFmtId="49" fontId="0" fillId="3" borderId="1" xfId="0" applyNumberFormat="1" applyFill="1" applyBorder="1" applyAlignment="1">
      <alignment vertical="top"/>
    </xf>
    <xf numFmtId="0" fontId="0" fillId="3" borderId="2" xfId="0" applyFill="1" applyBorder="1"/>
    <xf numFmtId="49" fontId="0" fillId="3" borderId="2" xfId="0" applyNumberFormat="1" applyFill="1" applyBorder="1" applyAlignment="1"/>
    <xf numFmtId="0" fontId="0" fillId="0" borderId="0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164" fontId="0" fillId="0" borderId="0" xfId="0" applyNumberFormat="1" applyFill="1" applyBorder="1"/>
    <xf numFmtId="165" fontId="0" fillId="0" borderId="0" xfId="0" applyNumberFormat="1"/>
    <xf numFmtId="0" fontId="0" fillId="3" borderId="4" xfId="0" applyFill="1" applyBorder="1"/>
    <xf numFmtId="0" fontId="0" fillId="3" borderId="5" xfId="0" applyFill="1" applyBorder="1"/>
    <xf numFmtId="49" fontId="0" fillId="3" borderId="6" xfId="0" applyNumberFormat="1" applyFill="1" applyBorder="1"/>
    <xf numFmtId="49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49" fontId="0" fillId="3" borderId="10" xfId="0" applyNumberFormat="1" applyFill="1" applyBorder="1"/>
    <xf numFmtId="0" fontId="0" fillId="3" borderId="11" xfId="0" applyFill="1" applyBorder="1"/>
    <xf numFmtId="0" fontId="0" fillId="3" borderId="12" xfId="0" applyFill="1" applyBorder="1"/>
    <xf numFmtId="14" fontId="0" fillId="3" borderId="11" xfId="0" applyNumberFormat="1" applyFill="1" applyBorder="1"/>
    <xf numFmtId="49" fontId="0" fillId="3" borderId="11" xfId="0" applyNumberFormat="1" applyFill="1" applyBorder="1" applyAlignment="1"/>
    <xf numFmtId="0" fontId="0" fillId="3" borderId="13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top" wrapText="1"/>
    </xf>
    <xf numFmtId="0" fontId="0" fillId="2" borderId="16" xfId="0" applyFill="1" applyBorder="1" applyAlignment="1">
      <alignment horizontal="center" vertical="top" wrapText="1"/>
    </xf>
    <xf numFmtId="0" fontId="0" fillId="2" borderId="17" xfId="0" applyFill="1" applyBorder="1" applyAlignment="1">
      <alignment horizontal="center" vertical="top" wrapText="1"/>
    </xf>
    <xf numFmtId="0" fontId="0" fillId="0" borderId="0" xfId="0" applyFill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9" fillId="0" borderId="0" xfId="2" applyFont="1" applyFill="1" applyAlignment="1">
      <alignment horizontal="left"/>
    </xf>
    <xf numFmtId="1" fontId="3" fillId="0" borderId="0" xfId="2" applyNumberFormat="1" applyFill="1"/>
    <xf numFmtId="0" fontId="3" fillId="0" borderId="0" xfId="2" applyNumberFormat="1" applyFont="1" applyFill="1" applyBorder="1" applyAlignment="1" applyProtection="1"/>
    <xf numFmtId="0" fontId="10" fillId="0" borderId="26" xfId="2" applyFont="1" applyFill="1" applyBorder="1" applyAlignment="1">
      <alignment horizontal="center"/>
    </xf>
    <xf numFmtId="1" fontId="10" fillId="0" borderId="26" xfId="2" applyNumberFormat="1" applyFont="1" applyFill="1" applyBorder="1" applyAlignment="1">
      <alignment horizontal="center"/>
    </xf>
    <xf numFmtId="0" fontId="12" fillId="0" borderId="26" xfId="3" applyFont="1" applyFill="1" applyBorder="1" applyAlignment="1">
      <alignment horizontal="center" vertical="center"/>
    </xf>
    <xf numFmtId="1" fontId="1" fillId="0" borderId="26" xfId="0" applyNumberFormat="1" applyFont="1" applyBorder="1" applyAlignment="1">
      <alignment horizontal="left"/>
    </xf>
    <xf numFmtId="0" fontId="2" fillId="0" borderId="26" xfId="0" applyNumberFormat="1" applyFont="1" applyFill="1" applyBorder="1" applyAlignment="1" applyProtection="1">
      <alignment horizontal="left" vertical="top"/>
    </xf>
    <xf numFmtId="0" fontId="2" fillId="0" borderId="26" xfId="0" applyNumberFormat="1" applyFont="1" applyFill="1" applyBorder="1" applyAlignment="1" applyProtection="1">
      <alignment horizontal="center" vertical="top"/>
    </xf>
    <xf numFmtId="0" fontId="2" fillId="0" borderId="26" xfId="2" applyFont="1" applyFill="1" applyBorder="1" applyAlignment="1">
      <alignment horizontal="center"/>
    </xf>
    <xf numFmtId="1" fontId="1" fillId="0" borderId="26" xfId="0" quotePrefix="1" applyNumberFormat="1" applyFont="1" applyBorder="1" applyAlignment="1">
      <alignment horizontal="left"/>
    </xf>
    <xf numFmtId="0" fontId="12" fillId="0" borderId="0" xfId="3" applyFont="1" applyFill="1" applyBorder="1" applyAlignment="1">
      <alignment horizontal="center" vertical="center"/>
    </xf>
    <xf numFmtId="1" fontId="12" fillId="0" borderId="0" xfId="0" applyNumberFormat="1" applyFont="1" applyBorder="1"/>
    <xf numFmtId="0" fontId="12" fillId="0" borderId="0" xfId="0" applyFont="1" applyBorder="1"/>
    <xf numFmtId="0" fontId="2" fillId="0" borderId="0" xfId="2" applyFont="1" applyFill="1" applyBorder="1"/>
    <xf numFmtId="0" fontId="12" fillId="0" borderId="0" xfId="0" applyFont="1"/>
    <xf numFmtId="0" fontId="12" fillId="0" borderId="26" xfId="0" applyFont="1" applyBorder="1" applyAlignment="1">
      <alignment horizontal="center" vertical="center"/>
    </xf>
    <xf numFmtId="1" fontId="12" fillId="0" borderId="26" xfId="0" applyNumberFormat="1" applyFont="1" applyBorder="1" applyAlignment="1">
      <alignment horizontal="center" vertical="center"/>
    </xf>
    <xf numFmtId="0" fontId="3" fillId="0" borderId="0" xfId="2" applyFont="1" applyFill="1"/>
    <xf numFmtId="49" fontId="2" fillId="0" borderId="0" xfId="2" applyNumberFormat="1" applyFont="1" applyFill="1" applyBorder="1"/>
    <xf numFmtId="1" fontId="0" fillId="0" borderId="0" xfId="0" applyNumberFormat="1"/>
    <xf numFmtId="0" fontId="10" fillId="0" borderId="0" xfId="2" applyFont="1" applyFill="1" applyBorder="1"/>
    <xf numFmtId="1" fontId="10" fillId="0" borderId="0" xfId="2" applyNumberFormat="1" applyFont="1" applyFill="1" applyBorder="1"/>
    <xf numFmtId="49" fontId="14" fillId="0" borderId="0" xfId="2" applyNumberFormat="1" applyFont="1" applyFill="1" applyBorder="1"/>
    <xf numFmtId="1" fontId="3" fillId="0" borderId="0" xfId="2" applyNumberFormat="1" applyFont="1" applyFill="1"/>
    <xf numFmtId="1" fontId="2" fillId="0" borderId="0" xfId="2" applyNumberFormat="1" applyFont="1" applyFill="1" applyBorder="1"/>
    <xf numFmtId="49" fontId="0" fillId="0" borderId="0" xfId="0" applyNumberFormat="1"/>
    <xf numFmtId="0" fontId="0" fillId="5" borderId="32" xfId="0" applyFill="1" applyBorder="1" applyAlignment="1">
      <alignment vertical="center"/>
    </xf>
    <xf numFmtId="0" fontId="0" fillId="5" borderId="27" xfId="0" applyFill="1" applyBorder="1" applyAlignment="1">
      <alignment horizontal="center" vertical="center"/>
    </xf>
    <xf numFmtId="0" fontId="0" fillId="5" borderId="31" xfId="0" applyFill="1" applyBorder="1" applyAlignment="1">
      <alignment textRotation="90"/>
    </xf>
    <xf numFmtId="0" fontId="7" fillId="5" borderId="31" xfId="0" applyFont="1" applyFill="1" applyBorder="1" applyAlignment="1">
      <alignment textRotation="90"/>
    </xf>
    <xf numFmtId="0" fontId="2" fillId="6" borderId="31" xfId="0" applyNumberFormat="1" applyFont="1" applyFill="1" applyBorder="1" applyAlignment="1" applyProtection="1">
      <alignment horizontal="left" vertical="top"/>
    </xf>
    <xf numFmtId="0" fontId="0" fillId="6" borderId="31" xfId="0" applyFill="1" applyBorder="1" applyAlignment="1">
      <alignment horizontal="center"/>
    </xf>
    <xf numFmtId="0" fontId="3" fillId="6" borderId="31" xfId="1" applyFont="1" applyFill="1" applyBorder="1" applyAlignment="1">
      <alignment horizontal="center" vertical="center" wrapText="1"/>
    </xf>
    <xf numFmtId="0" fontId="0" fillId="0" borderId="31" xfId="0" applyFill="1" applyBorder="1"/>
    <xf numFmtId="1" fontId="1" fillId="4" borderId="28" xfId="0" quotePrefix="1" applyNumberFormat="1" applyFont="1" applyFill="1" applyBorder="1" applyAlignment="1">
      <alignment horizontal="left"/>
    </xf>
    <xf numFmtId="0" fontId="0" fillId="0" borderId="32" xfId="0" applyFill="1" applyBorder="1"/>
    <xf numFmtId="1" fontId="1" fillId="6" borderId="31" xfId="0" quotePrefix="1" applyNumberFormat="1" applyFont="1" applyFill="1" applyBorder="1" applyAlignment="1">
      <alignment horizontal="left"/>
    </xf>
    <xf numFmtId="1" fontId="0" fillId="6" borderId="31" xfId="0" applyNumberFormat="1" applyFill="1" applyBorder="1"/>
    <xf numFmtId="1" fontId="7" fillId="6" borderId="31" xfId="0" applyNumberFormat="1" applyFont="1" applyFill="1" applyBorder="1" applyAlignment="1">
      <alignment horizontal="left"/>
    </xf>
    <xf numFmtId="1" fontId="4" fillId="6" borderId="31" xfId="1" applyNumberFormat="1" applyFont="1" applyFill="1" applyBorder="1" applyAlignment="1">
      <alignment horizontal="center" vertical="center"/>
    </xf>
    <xf numFmtId="1" fontId="0" fillId="6" borderId="31" xfId="0" applyNumberFormat="1" applyFill="1" applyBorder="1" applyAlignment="1">
      <alignment horizontal="center" vertical="center"/>
    </xf>
    <xf numFmtId="1" fontId="0" fillId="6" borderId="31" xfId="0" applyNumberFormat="1" applyFill="1" applyBorder="1" applyAlignment="1">
      <alignment horizontal="center" vertical="center" wrapText="1"/>
    </xf>
    <xf numFmtId="0" fontId="7" fillId="5" borderId="28" xfId="0" applyFont="1" applyFill="1" applyBorder="1" applyAlignment="1">
      <alignment textRotation="90"/>
    </xf>
    <xf numFmtId="0" fontId="0" fillId="3" borderId="36" xfId="0" applyFill="1" applyBorder="1"/>
    <xf numFmtId="0" fontId="0" fillId="3" borderId="0" xfId="0" applyFill="1" applyBorder="1"/>
    <xf numFmtId="0" fontId="0" fillId="3" borderId="37" xfId="0" applyFill="1" applyBorder="1"/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8" borderId="36" xfId="0" applyFill="1" applyBorder="1"/>
    <xf numFmtId="0" fontId="0" fillId="8" borderId="0" xfId="0" applyFill="1" applyBorder="1"/>
    <xf numFmtId="0" fontId="0" fillId="8" borderId="37" xfId="0" applyFill="1" applyBorder="1"/>
    <xf numFmtId="0" fontId="0" fillId="7" borderId="36" xfId="0" applyFill="1" applyBorder="1"/>
    <xf numFmtId="0" fontId="0" fillId="7" borderId="0" xfId="0" applyFill="1" applyBorder="1"/>
    <xf numFmtId="0" fontId="0" fillId="7" borderId="37" xfId="0" applyFill="1" applyBorder="1"/>
    <xf numFmtId="0" fontId="0" fillId="7" borderId="0" xfId="0" applyFill="1"/>
    <xf numFmtId="0" fontId="0" fillId="7" borderId="38" xfId="0" applyFill="1" applyBorder="1"/>
    <xf numFmtId="0" fontId="0" fillId="7" borderId="39" xfId="0" applyFill="1" applyBorder="1"/>
    <xf numFmtId="0" fontId="0" fillId="7" borderId="40" xfId="0" applyFill="1" applyBorder="1"/>
    <xf numFmtId="0" fontId="0" fillId="0" borderId="36" xfId="0" applyFill="1" applyBorder="1"/>
    <xf numFmtId="0" fontId="0" fillId="0" borderId="37" xfId="0" applyFill="1" applyBorder="1"/>
    <xf numFmtId="0" fontId="0" fillId="6" borderId="3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5" borderId="32" xfId="0" applyFill="1" applyBorder="1"/>
    <xf numFmtId="0" fontId="7" fillId="5" borderId="27" xfId="0" applyFont="1" applyFill="1" applyBorder="1" applyAlignment="1">
      <alignment horizontal="center" vertical="center" wrapText="1"/>
    </xf>
    <xf numFmtId="2" fontId="0" fillId="6" borderId="27" xfId="0" applyNumberFormat="1" applyFill="1" applyBorder="1"/>
    <xf numFmtId="0" fontId="0" fillId="9" borderId="36" xfId="0" applyFill="1" applyBorder="1"/>
    <xf numFmtId="0" fontId="0" fillId="9" borderId="0" xfId="0" applyFill="1" applyBorder="1"/>
    <xf numFmtId="0" fontId="0" fillId="9" borderId="37" xfId="0" applyFill="1" applyBorder="1"/>
    <xf numFmtId="0" fontId="0" fillId="3" borderId="33" xfId="0" applyFill="1" applyBorder="1"/>
    <xf numFmtId="0" fontId="0" fillId="3" borderId="35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1" fontId="0" fillId="0" borderId="0" xfId="0" applyNumberFormat="1" applyFill="1" applyBorder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31" xfId="0" applyNumberFormat="1" applyFont="1" applyFill="1" applyBorder="1" applyAlignment="1" applyProtection="1">
      <alignment horizontal="left" vertical="top"/>
    </xf>
    <xf numFmtId="165" fontId="0" fillId="0" borderId="31" xfId="0" applyNumberFormat="1" applyFill="1" applyBorder="1"/>
    <xf numFmtId="0" fontId="0" fillId="0" borderId="31" xfId="0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/>
    </xf>
    <xf numFmtId="166" fontId="0" fillId="0" borderId="31" xfId="0" applyNumberFormat="1" applyFill="1" applyBorder="1"/>
    <xf numFmtId="0" fontId="0" fillId="0" borderId="31" xfId="0" applyFill="1" applyBorder="1" applyAlignment="1">
      <alignment horizontal="center"/>
    </xf>
    <xf numFmtId="165" fontId="0" fillId="0" borderId="32" xfId="0" applyNumberFormat="1" applyFill="1" applyBorder="1"/>
    <xf numFmtId="0" fontId="0" fillId="0" borderId="32" xfId="0" applyFill="1" applyBorder="1" applyAlignment="1">
      <alignment horizontal="center" vertical="center"/>
    </xf>
    <xf numFmtId="166" fontId="0" fillId="0" borderId="32" xfId="0" applyNumberFormat="1" applyFill="1" applyBorder="1"/>
    <xf numFmtId="0" fontId="2" fillId="0" borderId="31" xfId="0" applyNumberFormat="1" applyFont="1" applyFill="1" applyBorder="1" applyAlignment="1" applyProtection="1">
      <alignment horizontal="center" vertical="top"/>
    </xf>
    <xf numFmtId="0" fontId="0" fillId="0" borderId="31" xfId="0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1" fontId="1" fillId="7" borderId="0" xfId="0" quotePrefix="1" applyNumberFormat="1" applyFont="1" applyFill="1" applyBorder="1" applyAlignment="1">
      <alignment horizontal="left"/>
    </xf>
    <xf numFmtId="165" fontId="0" fillId="7" borderId="0" xfId="0" applyNumberFormat="1" applyFill="1" applyBorder="1"/>
    <xf numFmtId="0" fontId="0" fillId="7" borderId="0" xfId="0" applyFill="1" applyBorder="1" applyAlignment="1">
      <alignment horizontal="center" vertical="center"/>
    </xf>
    <xf numFmtId="166" fontId="0" fillId="7" borderId="0" xfId="0" applyNumberFormat="1" applyFill="1" applyBorder="1"/>
    <xf numFmtId="1" fontId="0" fillId="7" borderId="0" xfId="0" applyNumberFormat="1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165" fontId="0" fillId="7" borderId="0" xfId="0" applyNumberFormat="1" applyFill="1" applyBorder="1" applyAlignment="1">
      <alignment horizontal="left" vertical="center"/>
    </xf>
    <xf numFmtId="0" fontId="0" fillId="0" borderId="41" xfId="0" applyFill="1" applyBorder="1"/>
    <xf numFmtId="49" fontId="0" fillId="0" borderId="31" xfId="0" applyNumberFormat="1" applyFill="1" applyBorder="1" applyAlignment="1">
      <alignment horizontal="left"/>
    </xf>
    <xf numFmtId="49" fontId="0" fillId="0" borderId="31" xfId="0" applyNumberFormat="1" applyFill="1" applyBorder="1"/>
    <xf numFmtId="49" fontId="0" fillId="0" borderId="32" xfId="0" applyNumberFormat="1" applyFill="1" applyBorder="1" applyAlignment="1">
      <alignment horizontal="center" vertical="center"/>
    </xf>
    <xf numFmtId="1" fontId="1" fillId="0" borderId="0" xfId="0" quotePrefix="1" applyNumberFormat="1" applyFont="1" applyFill="1" applyBorder="1" applyAlignment="1">
      <alignment horizontal="left"/>
    </xf>
    <xf numFmtId="165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166" fontId="0" fillId="0" borderId="0" xfId="0" applyNumberFormat="1" applyFill="1" applyBorder="1"/>
    <xf numFmtId="1" fontId="0" fillId="6" borderId="28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28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8" fillId="0" borderId="0" xfId="2" applyFont="1" applyFill="1" applyAlignment="1">
      <alignment horizontal="center"/>
    </xf>
    <xf numFmtId="0" fontId="10" fillId="0" borderId="18" xfId="2" applyFont="1" applyFill="1" applyBorder="1" applyAlignment="1">
      <alignment horizontal="center" vertical="center" wrapText="1"/>
    </xf>
    <xf numFmtId="0" fontId="10" fillId="0" borderId="19" xfId="2" applyFont="1" applyFill="1" applyBorder="1" applyAlignment="1">
      <alignment horizontal="center" vertical="center" wrapText="1"/>
    </xf>
    <xf numFmtId="0" fontId="10" fillId="0" borderId="22" xfId="2" applyFont="1" applyFill="1" applyBorder="1" applyAlignment="1">
      <alignment horizontal="center" vertical="center" wrapText="1"/>
    </xf>
    <xf numFmtId="0" fontId="10" fillId="0" borderId="23" xfId="2" applyFont="1" applyFill="1" applyBorder="1" applyAlignment="1">
      <alignment horizontal="center" vertical="center" wrapText="1"/>
    </xf>
    <xf numFmtId="0" fontId="10" fillId="0" borderId="20" xfId="2" applyFont="1" applyFill="1" applyBorder="1" applyAlignment="1">
      <alignment horizontal="center" vertical="center" wrapText="1"/>
    </xf>
    <xf numFmtId="0" fontId="10" fillId="0" borderId="24" xfId="2" applyFont="1" applyFill="1" applyBorder="1" applyAlignment="1">
      <alignment horizontal="center" vertical="center" wrapText="1"/>
    </xf>
    <xf numFmtId="0" fontId="10" fillId="0" borderId="27" xfId="2" applyFont="1" applyFill="1" applyBorder="1" applyAlignment="1">
      <alignment horizontal="center" vertical="center" wrapText="1"/>
    </xf>
    <xf numFmtId="0" fontId="10" fillId="0" borderId="18" xfId="2" applyFont="1" applyFill="1" applyBorder="1" applyAlignment="1">
      <alignment horizontal="center" vertical="center"/>
    </xf>
    <xf numFmtId="0" fontId="10" fillId="0" borderId="21" xfId="2" applyFont="1" applyFill="1" applyBorder="1" applyAlignment="1">
      <alignment horizontal="center" vertical="center"/>
    </xf>
    <xf numFmtId="0" fontId="10" fillId="0" borderId="19" xfId="2" applyFont="1" applyFill="1" applyBorder="1" applyAlignment="1">
      <alignment horizontal="center" vertical="center"/>
    </xf>
    <xf numFmtId="0" fontId="10" fillId="0" borderId="22" xfId="2" applyFont="1" applyFill="1" applyBorder="1" applyAlignment="1">
      <alignment horizontal="center" vertical="center"/>
    </xf>
    <xf numFmtId="0" fontId="10" fillId="0" borderId="25" xfId="2" applyFont="1" applyFill="1" applyBorder="1" applyAlignment="1">
      <alignment horizontal="center" vertical="center"/>
    </xf>
    <xf numFmtId="0" fontId="10" fillId="0" borderId="23" xfId="2" applyFont="1" applyFill="1" applyBorder="1" applyAlignment="1">
      <alignment horizontal="center" vertical="center"/>
    </xf>
    <xf numFmtId="0" fontId="10" fillId="0" borderId="28" xfId="2" applyFont="1" applyFill="1" applyBorder="1" applyAlignment="1">
      <alignment horizontal="center" vertical="center"/>
    </xf>
    <xf numFmtId="0" fontId="10" fillId="0" borderId="29" xfId="2" applyFont="1" applyFill="1" applyBorder="1" applyAlignment="1">
      <alignment horizontal="center" vertical="center"/>
    </xf>
    <xf numFmtId="0" fontId="10" fillId="0" borderId="30" xfId="2" applyFon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 wrapText="1"/>
    </xf>
    <xf numFmtId="0" fontId="0" fillId="5" borderId="31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3" borderId="34" xfId="0" applyFont="1" applyFill="1" applyBorder="1" applyAlignment="1">
      <alignment horizontal="center"/>
    </xf>
    <xf numFmtId="0" fontId="17" fillId="3" borderId="34" xfId="0" applyFont="1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19" fillId="0" borderId="0" xfId="0" applyFont="1" applyAlignment="1">
      <alignment horizontal="center"/>
    </xf>
  </cellXfs>
  <cellStyles count="4">
    <cellStyle name="Normal" xfId="0" builtinId="0"/>
    <cellStyle name="Normal 2" xfId="2"/>
    <cellStyle name="Normal 22" xfId="3"/>
    <cellStyle name="Normal 5" xfId="1"/>
  </cellStyles>
  <dxfs count="4"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microsoft.com/office/2006/relationships/xlMacrosheet" Target="macrosheets/sheet3.xml"/><Relationship Id="rId12" Type="http://schemas.openxmlformats.org/officeDocument/2006/relationships/theme" Target="theme/theme1.xml"/><Relationship Id="rId2" Type="http://schemas.microsoft.com/office/2006/relationships/xlMacrosheet" Target="macrosheets/sheet2.xml"/><Relationship Id="rId16" Type="http://schemas.microsoft.com/office/2006/relationships/vbaProject" Target="vbaProject.bin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3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0.png"/><Relationship Id="rId1" Type="http://schemas.openxmlformats.org/officeDocument/2006/relationships/image" Target="../media/image5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0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34" Type="http://schemas.openxmlformats.org/officeDocument/2006/relationships/image" Target="../media/image2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3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41" Type="http://schemas.openxmlformats.org/officeDocument/2006/relationships/image" Target="../media/image4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46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12" Type="http://schemas.openxmlformats.org/officeDocument/2006/relationships/image" Target="../media/image58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11" Type="http://schemas.openxmlformats.org/officeDocument/2006/relationships/image" Target="../media/image57.emf"/><Relationship Id="rId5" Type="http://schemas.openxmlformats.org/officeDocument/2006/relationships/image" Target="../media/image51.emf"/><Relationship Id="rId15" Type="http://schemas.openxmlformats.org/officeDocument/2006/relationships/image" Target="../media/image44.emf"/><Relationship Id="rId10" Type="http://schemas.openxmlformats.org/officeDocument/2006/relationships/image" Target="../media/image56.emf"/><Relationship Id="rId4" Type="http://schemas.openxmlformats.org/officeDocument/2006/relationships/image" Target="../media/image50.emf"/><Relationship Id="rId9" Type="http://schemas.openxmlformats.org/officeDocument/2006/relationships/image" Target="../media/image55.emf"/><Relationship Id="rId14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42541</xdr:colOff>
      <xdr:row>5</xdr:row>
      <xdr:rowOff>74221</xdr:rowOff>
    </xdr:from>
    <xdr:to>
      <xdr:col>13</xdr:col>
      <xdr:colOff>519544</xdr:colOff>
      <xdr:row>6</xdr:row>
      <xdr:rowOff>259773</xdr:rowOff>
    </xdr:to>
    <xdr:sp macro="[0]!pendataansiswa" textlink="">
      <xdr:nvSpPr>
        <xdr:cNvPr id="2" name="Bevel 1"/>
        <xdr:cNvSpPr/>
      </xdr:nvSpPr>
      <xdr:spPr>
        <a:xfrm>
          <a:off x="11744684" y="1422565"/>
          <a:ext cx="1206841" cy="371104"/>
        </a:xfrm>
        <a:prstGeom prst="bevel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TAMBAH</a:t>
          </a:r>
          <a:r>
            <a:rPr lang="id-ID" sz="1100" baseline="0"/>
            <a:t> DATA</a:t>
          </a:r>
          <a:endParaRPr lang="id-ID" sz="1100"/>
        </a:p>
      </xdr:txBody>
    </xdr:sp>
    <xdr:clientData/>
  </xdr:twoCellAnchor>
  <xdr:twoCellAnchor>
    <xdr:from>
      <xdr:col>13</xdr:col>
      <xdr:colOff>556656</xdr:colOff>
      <xdr:row>6</xdr:row>
      <xdr:rowOff>296886</xdr:rowOff>
    </xdr:from>
    <xdr:to>
      <xdr:col>15</xdr:col>
      <xdr:colOff>358733</xdr:colOff>
      <xdr:row>8</xdr:row>
      <xdr:rowOff>111330</xdr:rowOff>
    </xdr:to>
    <xdr:sp macro="[0]!prin_rekap" textlink="">
      <xdr:nvSpPr>
        <xdr:cNvPr id="4" name="Bevel 3"/>
        <xdr:cNvSpPr/>
      </xdr:nvSpPr>
      <xdr:spPr>
        <a:xfrm>
          <a:off x="12988637" y="1830782"/>
          <a:ext cx="1212271" cy="3834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PRINT REKAP</a:t>
          </a:r>
          <a:r>
            <a:rPr lang="id-ID" sz="1100" baseline="0"/>
            <a:t> DATA SISWA</a:t>
          </a:r>
          <a:endParaRPr lang="id-ID" sz="1100"/>
        </a:p>
      </xdr:txBody>
    </xdr:sp>
    <xdr:clientData/>
  </xdr:twoCellAnchor>
  <xdr:twoCellAnchor>
    <xdr:from>
      <xdr:col>12</xdr:col>
      <xdr:colOff>74220</xdr:colOff>
      <xdr:row>8</xdr:row>
      <xdr:rowOff>173182</xdr:rowOff>
    </xdr:from>
    <xdr:to>
      <xdr:col>13</xdr:col>
      <xdr:colOff>519545</xdr:colOff>
      <xdr:row>10</xdr:row>
      <xdr:rowOff>173182</xdr:rowOff>
    </xdr:to>
    <xdr:sp macro="[0]!hapusdata" textlink="">
      <xdr:nvSpPr>
        <xdr:cNvPr id="5" name="Bevel 4"/>
        <xdr:cNvSpPr/>
      </xdr:nvSpPr>
      <xdr:spPr>
        <a:xfrm>
          <a:off x="11776363" y="2276104"/>
          <a:ext cx="1175163" cy="371104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HAPUS</a:t>
          </a:r>
        </a:p>
      </xdr:txBody>
    </xdr:sp>
    <xdr:clientData/>
  </xdr:twoCellAnchor>
  <xdr:twoCellAnchor>
    <xdr:from>
      <xdr:col>12</xdr:col>
      <xdr:colOff>49480</xdr:colOff>
      <xdr:row>6</xdr:row>
      <xdr:rowOff>309254</xdr:rowOff>
    </xdr:from>
    <xdr:to>
      <xdr:col>13</xdr:col>
      <xdr:colOff>519545</xdr:colOff>
      <xdr:row>8</xdr:row>
      <xdr:rowOff>111331</xdr:rowOff>
    </xdr:to>
    <xdr:sp macro="[0]!SHETNILAI" textlink="">
      <xdr:nvSpPr>
        <xdr:cNvPr id="6" name="Bevel 5"/>
        <xdr:cNvSpPr/>
      </xdr:nvSpPr>
      <xdr:spPr>
        <a:xfrm>
          <a:off x="11751623" y="1843150"/>
          <a:ext cx="1199903" cy="37110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DATA NILAI</a:t>
          </a:r>
        </a:p>
      </xdr:txBody>
    </xdr:sp>
    <xdr:clientData/>
  </xdr:twoCellAnchor>
  <xdr:twoCellAnchor>
    <xdr:from>
      <xdr:col>13</xdr:col>
      <xdr:colOff>562087</xdr:colOff>
      <xdr:row>5</xdr:row>
      <xdr:rowOff>74221</xdr:rowOff>
    </xdr:from>
    <xdr:to>
      <xdr:col>15</xdr:col>
      <xdr:colOff>358734</xdr:colOff>
      <xdr:row>6</xdr:row>
      <xdr:rowOff>247403</xdr:rowOff>
    </xdr:to>
    <xdr:sp macro="[0]!CARI" textlink="">
      <xdr:nvSpPr>
        <xdr:cNvPr id="8" name="Bevel 7"/>
        <xdr:cNvSpPr/>
      </xdr:nvSpPr>
      <xdr:spPr>
        <a:xfrm>
          <a:off x="12994068" y="1422565"/>
          <a:ext cx="1206841" cy="358734"/>
        </a:xfrm>
        <a:prstGeom prst="bevel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aseline="0"/>
            <a:t>CARI DATA</a:t>
          </a:r>
          <a:endParaRPr lang="id-ID" sz="1100"/>
        </a:p>
      </xdr:txBody>
    </xdr:sp>
    <xdr:clientData/>
  </xdr:twoCellAnchor>
  <xdr:twoCellAnchor>
    <xdr:from>
      <xdr:col>0</xdr:col>
      <xdr:colOff>148441</xdr:colOff>
      <xdr:row>1</xdr:row>
      <xdr:rowOff>123700</xdr:rowOff>
    </xdr:from>
    <xdr:to>
      <xdr:col>1</xdr:col>
      <xdr:colOff>48449</xdr:colOff>
      <xdr:row>4</xdr:row>
      <xdr:rowOff>52572</xdr:rowOff>
    </xdr:to>
    <xdr:grpSp>
      <xdr:nvGrpSpPr>
        <xdr:cNvPr id="9" name="Group 8"/>
        <xdr:cNvGrpSpPr/>
      </xdr:nvGrpSpPr>
      <xdr:grpSpPr>
        <a:xfrm>
          <a:off x="148441" y="569025"/>
          <a:ext cx="691696" cy="646339"/>
          <a:chOff x="9978571" y="4116162"/>
          <a:chExt cx="691696" cy="646339"/>
        </a:xfrm>
      </xdr:grpSpPr>
      <xdr:sp macro="[0]!MENUUTAMA" textlink="">
        <xdr:nvSpPr>
          <xdr:cNvPr id="10" name="Bevel 9"/>
          <xdr:cNvSpPr/>
        </xdr:nvSpPr>
        <xdr:spPr>
          <a:xfrm>
            <a:off x="10023929" y="4410985"/>
            <a:ext cx="612321" cy="351516"/>
          </a:xfrm>
          <a:prstGeom prst="bevel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000"/>
              <a:t>HOME</a:t>
            </a:r>
          </a:p>
        </xdr:txBody>
      </xdr:sp>
      <xdr:sp macro="" textlink="">
        <xdr:nvSpPr>
          <xdr:cNvPr id="11" name="Isosceles Triangle 10"/>
          <xdr:cNvSpPr/>
        </xdr:nvSpPr>
        <xdr:spPr>
          <a:xfrm>
            <a:off x="9978571" y="4116162"/>
            <a:ext cx="691696" cy="328839"/>
          </a:xfrm>
          <a:prstGeom prst="triangl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3</xdr:row>
      <xdr:rowOff>19050</xdr:rowOff>
    </xdr:from>
    <xdr:to>
      <xdr:col>19</xdr:col>
      <xdr:colOff>228600</xdr:colOff>
      <xdr:row>24</xdr:row>
      <xdr:rowOff>86127</xdr:rowOff>
    </xdr:to>
    <xdr:grpSp>
      <xdr:nvGrpSpPr>
        <xdr:cNvPr id="5" name="Group 4"/>
        <xdr:cNvGrpSpPr/>
      </xdr:nvGrpSpPr>
      <xdr:grpSpPr>
        <a:xfrm>
          <a:off x="4591050" y="590550"/>
          <a:ext cx="7219950" cy="4067577"/>
          <a:chOff x="3171825" y="390525"/>
          <a:chExt cx="7219950" cy="4067577"/>
        </a:xfrm>
      </xdr:grpSpPr>
      <xdr:grpSp>
        <xdr:nvGrpSpPr>
          <xdr:cNvPr id="4" name="Group 3"/>
          <xdr:cNvGrpSpPr/>
        </xdr:nvGrpSpPr>
        <xdr:grpSpPr>
          <a:xfrm>
            <a:off x="3171825" y="390525"/>
            <a:ext cx="7219950" cy="4067577"/>
            <a:chOff x="4286250" y="409575"/>
            <a:chExt cx="7219950" cy="4067577"/>
          </a:xfrm>
        </xdr:grpSpPr>
        <xdr:pic>
          <xdr:nvPicPr>
            <xdr:cNvPr id="9" name="Picture 8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286250" y="409575"/>
              <a:ext cx="7219950" cy="4067577"/>
            </a:xfrm>
            <a:prstGeom prst="rect">
              <a:avLst/>
            </a:prstGeom>
            <a:solidFill>
              <a:schemeClr val="accent1"/>
            </a:solidFill>
            <a:effectLst>
              <a:glow rad="241300">
                <a:schemeClr val="accent6">
                  <a:satMod val="175000"/>
                  <a:alpha val="40000"/>
                </a:schemeClr>
              </a:glow>
              <a:softEdge rad="520700"/>
            </a:effectLst>
            <a:scene3d>
              <a:camera prst="perspectiveFront" fov="2700000">
                <a:rot lat="0" lon="0" rev="0"/>
              </a:camera>
              <a:lightRig rig="threePt" dir="t"/>
            </a:scene3d>
            <a:sp3d z="69850">
              <a:bevelT w="165100" h="152400" prst="divot"/>
            </a:sp3d>
          </xdr:spPr>
        </xdr:pic>
        <xdr:sp macro="" textlink="">
          <xdr:nvSpPr>
            <xdr:cNvPr id="3" name="Rounded Rectangle 2"/>
            <xdr:cNvSpPr/>
          </xdr:nvSpPr>
          <xdr:spPr>
            <a:xfrm>
              <a:off x="4810125" y="1228725"/>
              <a:ext cx="6038850" cy="3162300"/>
            </a:xfrm>
            <a:prstGeom prst="roundRect">
              <a:avLst/>
            </a:prstGeom>
            <a:noFill/>
            <a:ln>
              <a:noFill/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d-ID" sz="1800">
                  <a:latin typeface="Andalus" panose="02020603050405020304" pitchFamily="18" charset="-78"/>
                  <a:cs typeface="Andalus" panose="02020603050405020304" pitchFamily="18" charset="-78"/>
                </a:rPr>
                <a:t>APLIKASI PENDATAAN</a:t>
              </a:r>
              <a:r>
                <a:rPr lang="id-ID" sz="1800" baseline="0">
                  <a:latin typeface="Andalus" panose="02020603050405020304" pitchFamily="18" charset="-78"/>
                  <a:cs typeface="Andalus" panose="02020603050405020304" pitchFamily="18" charset="-78"/>
                </a:rPr>
                <a:t> DAN REKAP DATA NILAI SISWA</a:t>
              </a:r>
            </a:p>
            <a:p>
              <a:pPr algn="ctr"/>
              <a:r>
                <a:rPr lang="id-ID" sz="1800" baseline="0">
                  <a:latin typeface="Andalus" panose="02020603050405020304" pitchFamily="18" charset="-78"/>
                  <a:cs typeface="Andalus" panose="02020603050405020304" pitchFamily="18" charset="-78"/>
                </a:rPr>
                <a:t>DI </a:t>
              </a:r>
            </a:p>
            <a:p>
              <a:pPr algn="ctr"/>
              <a:r>
                <a:rPr lang="id-ID" sz="1800" baseline="0">
                  <a:latin typeface="Andalus" panose="02020603050405020304" pitchFamily="18" charset="-78"/>
                  <a:cs typeface="Andalus" panose="02020603050405020304" pitchFamily="18" charset="-78"/>
                </a:rPr>
                <a:t>SMP YAHAS BANJARAN</a:t>
              </a:r>
              <a:endParaRPr lang="id-ID" sz="1800">
                <a:latin typeface="Andalus" panose="02020603050405020304" pitchFamily="18" charset="-78"/>
                <a:cs typeface="Andalus" panose="02020603050405020304" pitchFamily="18" charset="-78"/>
              </a:endParaRPr>
            </a:p>
          </xdr:txBody>
        </xdr:sp>
      </xdr:grpSp>
      <xdr:sp macro="[0]!MENU_TNILAI" textlink="">
        <xdr:nvSpPr>
          <xdr:cNvPr id="2" name="Rectangle 1"/>
          <xdr:cNvSpPr/>
        </xdr:nvSpPr>
        <xdr:spPr>
          <a:xfrm>
            <a:off x="5267325" y="3048000"/>
            <a:ext cx="1685925" cy="371475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id-ID" sz="1100" baseline="0"/>
              <a:t>DATA NILAI  SISWA</a:t>
            </a:r>
            <a:endParaRPr lang="id-ID" sz="1100"/>
          </a:p>
        </xdr:txBody>
      </xdr:sp>
      <xdr:sp macro="[0]!MENU_TSISWA" textlink="">
        <xdr:nvSpPr>
          <xdr:cNvPr id="6" name="Rectangle 5"/>
          <xdr:cNvSpPr/>
        </xdr:nvSpPr>
        <xdr:spPr>
          <a:xfrm>
            <a:off x="4029075" y="3048000"/>
            <a:ext cx="1200150" cy="371475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id-ID" sz="1100" baseline="0"/>
              <a:t>DATA DIRI </a:t>
            </a:r>
            <a:r>
              <a:rPr lang="id-ID" sz="1100"/>
              <a:t>SISWA</a:t>
            </a:r>
          </a:p>
        </xdr:txBody>
      </xdr:sp>
      <xdr:sp macro="[0]!MENU_NPSISWA" textlink="">
        <xdr:nvSpPr>
          <xdr:cNvPr id="7" name="Rectangle 6"/>
          <xdr:cNvSpPr/>
        </xdr:nvSpPr>
        <xdr:spPr>
          <a:xfrm>
            <a:off x="6991350" y="3057525"/>
            <a:ext cx="1495425" cy="371475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id-ID" sz="1100" baseline="0"/>
              <a:t>DATA NILAI  PER</a:t>
            </a:r>
            <a:r>
              <a:rPr lang="id-ID" sz="1100"/>
              <a:t>SISWA</a:t>
            </a:r>
          </a:p>
        </xdr:txBody>
      </xdr:sp>
      <xdr:sp macro="[0]!MENU_KARTUSISWA" textlink="">
        <xdr:nvSpPr>
          <xdr:cNvPr id="8" name="Rectangle 7"/>
          <xdr:cNvSpPr/>
        </xdr:nvSpPr>
        <xdr:spPr>
          <a:xfrm>
            <a:off x="8515350" y="3048000"/>
            <a:ext cx="1200150" cy="371475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id-ID" sz="1100" baseline="0"/>
              <a:t>KARTU </a:t>
            </a:r>
            <a:r>
              <a:rPr lang="id-ID" sz="1100"/>
              <a:t>SISWA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608693</xdr:colOff>
      <xdr:row>6</xdr:row>
      <xdr:rowOff>0</xdr:rowOff>
    </xdr:from>
    <xdr:to>
      <xdr:col>20</xdr:col>
      <xdr:colOff>608693</xdr:colOff>
      <xdr:row>6</xdr:row>
      <xdr:rowOff>400050</xdr:rowOff>
    </xdr:to>
    <xdr:sp macro="[0]!NILAI" textlink="">
      <xdr:nvSpPr>
        <xdr:cNvPr id="2" name="Bevel 1"/>
        <xdr:cNvSpPr/>
      </xdr:nvSpPr>
      <xdr:spPr>
        <a:xfrm>
          <a:off x="9056461" y="1315357"/>
          <a:ext cx="1224643" cy="40005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100"/>
            <a:t>TAMBAH</a:t>
          </a:r>
          <a:r>
            <a:rPr lang="id-ID" sz="1100" baseline="0"/>
            <a:t> DATA</a:t>
          </a:r>
          <a:endParaRPr lang="id-ID" sz="1100"/>
        </a:p>
      </xdr:txBody>
    </xdr:sp>
    <xdr:clientData/>
  </xdr:twoCellAnchor>
  <xdr:twoCellAnchor>
    <xdr:from>
      <xdr:col>18</xdr:col>
      <xdr:colOff>599168</xdr:colOff>
      <xdr:row>6</xdr:row>
      <xdr:rowOff>508455</xdr:rowOff>
    </xdr:from>
    <xdr:to>
      <xdr:col>21</xdr:col>
      <xdr:colOff>139247</xdr:colOff>
      <xdr:row>7</xdr:row>
      <xdr:rowOff>98880</xdr:rowOff>
    </xdr:to>
    <xdr:sp macro="[0]!prin_rekapNILAI" textlink="">
      <xdr:nvSpPr>
        <xdr:cNvPr id="3" name="Bevel 2"/>
        <xdr:cNvSpPr/>
      </xdr:nvSpPr>
      <xdr:spPr>
        <a:xfrm>
          <a:off x="9046936" y="1823812"/>
          <a:ext cx="1377043" cy="395514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100"/>
            <a:t>PRINT</a:t>
          </a:r>
          <a:r>
            <a:rPr lang="id-ID" sz="1100" baseline="0"/>
            <a:t> REKAP NILAI</a:t>
          </a:r>
          <a:endParaRPr lang="id-ID" sz="1100"/>
        </a:p>
      </xdr:txBody>
    </xdr:sp>
    <xdr:clientData/>
  </xdr:twoCellAnchor>
  <xdr:twoCellAnchor>
    <xdr:from>
      <xdr:col>18</xdr:col>
      <xdr:colOff>606878</xdr:colOff>
      <xdr:row>10</xdr:row>
      <xdr:rowOff>37193</xdr:rowOff>
    </xdr:from>
    <xdr:to>
      <xdr:col>20</xdr:col>
      <xdr:colOff>385081</xdr:colOff>
      <xdr:row>12</xdr:row>
      <xdr:rowOff>46718</xdr:rowOff>
    </xdr:to>
    <xdr:sp macro="[0]!DATADSISWA" textlink="">
      <xdr:nvSpPr>
        <xdr:cNvPr id="4" name="Bevel 3"/>
        <xdr:cNvSpPr/>
      </xdr:nvSpPr>
      <xdr:spPr>
        <a:xfrm>
          <a:off x="9054646" y="2735943"/>
          <a:ext cx="1002846" cy="39506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100"/>
            <a:t>DATA SISWA</a:t>
          </a:r>
        </a:p>
      </xdr:txBody>
    </xdr:sp>
    <xdr:clientData/>
  </xdr:twoCellAnchor>
  <xdr:twoCellAnchor>
    <xdr:from>
      <xdr:col>19</xdr:col>
      <xdr:colOff>0</xdr:colOff>
      <xdr:row>7</xdr:row>
      <xdr:rowOff>158750</xdr:rowOff>
    </xdr:from>
    <xdr:to>
      <xdr:col>20</xdr:col>
      <xdr:colOff>600982</xdr:colOff>
      <xdr:row>9</xdr:row>
      <xdr:rowOff>168275</xdr:rowOff>
    </xdr:to>
    <xdr:sp macro="[0]!MENU_NPSISWA" textlink="">
      <xdr:nvSpPr>
        <xdr:cNvPr id="9" name="Bevel 8"/>
        <xdr:cNvSpPr/>
      </xdr:nvSpPr>
      <xdr:spPr>
        <a:xfrm>
          <a:off x="9060089" y="2279196"/>
          <a:ext cx="1213304" cy="39506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100"/>
            <a:t>NILAI</a:t>
          </a:r>
          <a:r>
            <a:rPr lang="id-ID" sz="1100" baseline="0"/>
            <a:t> PERSISWA</a:t>
          </a:r>
          <a:endParaRPr lang="id-ID" sz="1100"/>
        </a:p>
      </xdr:txBody>
    </xdr:sp>
    <xdr:clientData/>
  </xdr:twoCellAnchor>
  <xdr:twoCellAnchor>
    <xdr:from>
      <xdr:col>0</xdr:col>
      <xdr:colOff>147410</xdr:colOff>
      <xdr:row>1</xdr:row>
      <xdr:rowOff>1</xdr:rowOff>
    </xdr:from>
    <xdr:to>
      <xdr:col>1</xdr:col>
      <xdr:colOff>79374</xdr:colOff>
      <xdr:row>3</xdr:row>
      <xdr:rowOff>22679</xdr:rowOff>
    </xdr:to>
    <xdr:grpSp>
      <xdr:nvGrpSpPr>
        <xdr:cNvPr id="10" name="Group 9"/>
        <xdr:cNvGrpSpPr/>
      </xdr:nvGrpSpPr>
      <xdr:grpSpPr>
        <a:xfrm>
          <a:off x="147410" y="192769"/>
          <a:ext cx="691696" cy="646339"/>
          <a:chOff x="9978571" y="4116162"/>
          <a:chExt cx="691696" cy="646339"/>
        </a:xfrm>
      </xdr:grpSpPr>
      <xdr:sp macro="[0]!MENUUTAMA" textlink="">
        <xdr:nvSpPr>
          <xdr:cNvPr id="6" name="Bevel 5"/>
          <xdr:cNvSpPr/>
        </xdr:nvSpPr>
        <xdr:spPr>
          <a:xfrm>
            <a:off x="10023929" y="4410985"/>
            <a:ext cx="612321" cy="351516"/>
          </a:xfrm>
          <a:prstGeom prst="bevel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000"/>
              <a:t>HOME</a:t>
            </a:r>
          </a:p>
        </xdr:txBody>
      </xdr:sp>
      <xdr:sp macro="" textlink="">
        <xdr:nvSpPr>
          <xdr:cNvPr id="5" name="Isosceles Triangle 4"/>
          <xdr:cNvSpPr/>
        </xdr:nvSpPr>
        <xdr:spPr>
          <a:xfrm>
            <a:off x="9978571" y="4116162"/>
            <a:ext cx="691696" cy="328839"/>
          </a:xfrm>
          <a:prstGeom prst="triangl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18</xdr:col>
      <xdr:colOff>606877</xdr:colOff>
      <xdr:row>12</xdr:row>
      <xdr:rowOff>105227</xdr:rowOff>
    </xdr:from>
    <xdr:to>
      <xdr:col>21</xdr:col>
      <xdr:colOff>147410</xdr:colOff>
      <xdr:row>14</xdr:row>
      <xdr:rowOff>114753</xdr:rowOff>
    </xdr:to>
    <xdr:sp macro="[0]!CARI_NILAI" textlink="">
      <xdr:nvSpPr>
        <xdr:cNvPr id="11" name="Bevel 10"/>
        <xdr:cNvSpPr/>
      </xdr:nvSpPr>
      <xdr:spPr>
        <a:xfrm>
          <a:off x="9054645" y="3189513"/>
          <a:ext cx="1377497" cy="39506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100"/>
            <a:t>CARI</a:t>
          </a:r>
          <a:r>
            <a:rPr lang="id-ID" sz="1100" baseline="0"/>
            <a:t> NILAI </a:t>
          </a:r>
          <a:r>
            <a:rPr lang="id-ID" sz="1100"/>
            <a:t>SISWA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343342</xdr:colOff>
      <xdr:row>2</xdr:row>
      <xdr:rowOff>420871</xdr:rowOff>
    </xdr:from>
    <xdr:to>
      <xdr:col>7</xdr:col>
      <xdr:colOff>476249</xdr:colOff>
      <xdr:row>6</xdr:row>
      <xdr:rowOff>189114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8284" y="775290"/>
          <a:ext cx="742064" cy="643214"/>
        </a:xfrm>
        <a:prstGeom prst="rect">
          <a:avLst/>
        </a:prstGeom>
        <a:effectLst>
          <a:reflection endPos="0" dist="508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4</xdr:row>
          <xdr:rowOff>85725</xdr:rowOff>
        </xdr:from>
        <xdr:to>
          <xdr:col>2</xdr:col>
          <xdr:colOff>581025</xdr:colOff>
          <xdr:row>5</xdr:row>
          <xdr:rowOff>123825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123825</xdr:rowOff>
        </xdr:from>
        <xdr:to>
          <xdr:col>2</xdr:col>
          <xdr:colOff>581025</xdr:colOff>
          <xdr:row>6</xdr:row>
          <xdr:rowOff>161925</xdr:rowOff>
        </xdr:to>
        <xdr:sp macro="" textlink="">
          <xdr:nvSpPr>
            <xdr:cNvPr id="3074" name="Label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</xdr:row>
          <xdr:rowOff>161925</xdr:rowOff>
        </xdr:from>
        <xdr:to>
          <xdr:col>2</xdr:col>
          <xdr:colOff>581025</xdr:colOff>
          <xdr:row>7</xdr:row>
          <xdr:rowOff>0</xdr:rowOff>
        </xdr:to>
        <xdr:sp macro="" textlink="">
          <xdr:nvSpPr>
            <xdr:cNvPr id="3075" name="Label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11</xdr:row>
          <xdr:rowOff>0</xdr:rowOff>
        </xdr:from>
        <xdr:to>
          <xdr:col>2</xdr:col>
          <xdr:colOff>552450</xdr:colOff>
          <xdr:row>12</xdr:row>
          <xdr:rowOff>38100</xdr:rowOff>
        </xdr:to>
        <xdr:sp macro="" textlink="">
          <xdr:nvSpPr>
            <xdr:cNvPr id="3076" name="Label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10</xdr:row>
          <xdr:rowOff>19050</xdr:rowOff>
        </xdr:from>
        <xdr:to>
          <xdr:col>2</xdr:col>
          <xdr:colOff>552450</xdr:colOff>
          <xdr:row>11</xdr:row>
          <xdr:rowOff>57150</xdr:rowOff>
        </xdr:to>
        <xdr:sp macro="" textlink="">
          <xdr:nvSpPr>
            <xdr:cNvPr id="3077" name="Label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4</xdr:row>
          <xdr:rowOff>76200</xdr:rowOff>
        </xdr:from>
        <xdr:to>
          <xdr:col>5</xdr:col>
          <xdr:colOff>590550</xdr:colOff>
          <xdr:row>5</xdr:row>
          <xdr:rowOff>114300</xdr:rowOff>
        </xdr:to>
        <xdr:sp macro="" textlink="">
          <xdr:nvSpPr>
            <xdr:cNvPr id="3078" name="TNIS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5</xdr:row>
          <xdr:rowOff>95250</xdr:rowOff>
        </xdr:from>
        <xdr:to>
          <xdr:col>5</xdr:col>
          <xdr:colOff>600075</xdr:colOff>
          <xdr:row>6</xdr:row>
          <xdr:rowOff>142875</xdr:rowOff>
        </xdr:to>
        <xdr:sp macro="" textlink="">
          <xdr:nvSpPr>
            <xdr:cNvPr id="3079" name="TNAMA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6</xdr:row>
          <xdr:rowOff>133350</xdr:rowOff>
        </xdr:from>
        <xdr:to>
          <xdr:col>3</xdr:col>
          <xdr:colOff>542925</xdr:colOff>
          <xdr:row>6</xdr:row>
          <xdr:rowOff>361950</xdr:rowOff>
        </xdr:to>
        <xdr:sp macro="" textlink="">
          <xdr:nvSpPr>
            <xdr:cNvPr id="3080" name="TKELA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10</xdr:row>
          <xdr:rowOff>0</xdr:rowOff>
        </xdr:from>
        <xdr:to>
          <xdr:col>7</xdr:col>
          <xdr:colOff>600075</xdr:colOff>
          <xdr:row>11</xdr:row>
          <xdr:rowOff>38100</xdr:rowOff>
        </xdr:to>
        <xdr:sp macro="" textlink="">
          <xdr:nvSpPr>
            <xdr:cNvPr id="3081" name="TPAI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10</xdr:row>
          <xdr:rowOff>161925</xdr:rowOff>
        </xdr:from>
        <xdr:to>
          <xdr:col>7</xdr:col>
          <xdr:colOff>600075</xdr:colOff>
          <xdr:row>12</xdr:row>
          <xdr:rowOff>9525</xdr:rowOff>
        </xdr:to>
        <xdr:sp macro="" textlink="">
          <xdr:nvSpPr>
            <xdr:cNvPr id="3082" name="TPK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</xdr:row>
          <xdr:rowOff>9525</xdr:rowOff>
        </xdr:from>
        <xdr:to>
          <xdr:col>10</xdr:col>
          <xdr:colOff>57150</xdr:colOff>
          <xdr:row>2</xdr:row>
          <xdr:rowOff>314325</xdr:rowOff>
        </xdr:to>
        <xdr:sp macro="" textlink="">
          <xdr:nvSpPr>
            <xdr:cNvPr id="3083" name="CMD_CARI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12</xdr:row>
          <xdr:rowOff>9525</xdr:rowOff>
        </xdr:from>
        <xdr:to>
          <xdr:col>2</xdr:col>
          <xdr:colOff>552450</xdr:colOff>
          <xdr:row>13</xdr:row>
          <xdr:rowOff>47625</xdr:rowOff>
        </xdr:to>
        <xdr:sp macro="" textlink="">
          <xdr:nvSpPr>
            <xdr:cNvPr id="3084" name="Label6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13</xdr:row>
          <xdr:rowOff>180975</xdr:rowOff>
        </xdr:from>
        <xdr:to>
          <xdr:col>2</xdr:col>
          <xdr:colOff>542925</xdr:colOff>
          <xdr:row>15</xdr:row>
          <xdr:rowOff>28575</xdr:rowOff>
        </xdr:to>
        <xdr:sp macro="" textlink="">
          <xdr:nvSpPr>
            <xdr:cNvPr id="3085" name="Label7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16</xdr:row>
          <xdr:rowOff>0</xdr:rowOff>
        </xdr:from>
        <xdr:to>
          <xdr:col>2</xdr:col>
          <xdr:colOff>552450</xdr:colOff>
          <xdr:row>17</xdr:row>
          <xdr:rowOff>38100</xdr:rowOff>
        </xdr:to>
        <xdr:sp macro="" textlink="">
          <xdr:nvSpPr>
            <xdr:cNvPr id="3086" name="Label8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13</xdr:row>
          <xdr:rowOff>0</xdr:rowOff>
        </xdr:from>
        <xdr:to>
          <xdr:col>2</xdr:col>
          <xdr:colOff>542925</xdr:colOff>
          <xdr:row>14</xdr:row>
          <xdr:rowOff>38100</xdr:rowOff>
        </xdr:to>
        <xdr:sp macro="" textlink="">
          <xdr:nvSpPr>
            <xdr:cNvPr id="3087" name="Label9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15</xdr:row>
          <xdr:rowOff>9525</xdr:rowOff>
        </xdr:from>
        <xdr:to>
          <xdr:col>2</xdr:col>
          <xdr:colOff>542925</xdr:colOff>
          <xdr:row>16</xdr:row>
          <xdr:rowOff>47625</xdr:rowOff>
        </xdr:to>
        <xdr:sp macro="" textlink="">
          <xdr:nvSpPr>
            <xdr:cNvPr id="3088" name="Label10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17</xdr:row>
          <xdr:rowOff>0</xdr:rowOff>
        </xdr:from>
        <xdr:to>
          <xdr:col>2</xdr:col>
          <xdr:colOff>552450</xdr:colOff>
          <xdr:row>18</xdr:row>
          <xdr:rowOff>38100</xdr:rowOff>
        </xdr:to>
        <xdr:sp macro="" textlink="">
          <xdr:nvSpPr>
            <xdr:cNvPr id="3089" name="Label11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18</xdr:row>
          <xdr:rowOff>0</xdr:rowOff>
        </xdr:from>
        <xdr:to>
          <xdr:col>2</xdr:col>
          <xdr:colOff>552450</xdr:colOff>
          <xdr:row>19</xdr:row>
          <xdr:rowOff>38100</xdr:rowOff>
        </xdr:to>
        <xdr:sp macro="" textlink="">
          <xdr:nvSpPr>
            <xdr:cNvPr id="3090" name="Label12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19</xdr:row>
          <xdr:rowOff>9525</xdr:rowOff>
        </xdr:from>
        <xdr:to>
          <xdr:col>2</xdr:col>
          <xdr:colOff>552450</xdr:colOff>
          <xdr:row>20</xdr:row>
          <xdr:rowOff>47625</xdr:rowOff>
        </xdr:to>
        <xdr:sp macro="" textlink="">
          <xdr:nvSpPr>
            <xdr:cNvPr id="3091" name="Label1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20</xdr:row>
          <xdr:rowOff>9525</xdr:rowOff>
        </xdr:from>
        <xdr:to>
          <xdr:col>2</xdr:col>
          <xdr:colOff>552450</xdr:colOff>
          <xdr:row>21</xdr:row>
          <xdr:rowOff>47625</xdr:rowOff>
        </xdr:to>
        <xdr:sp macro="" textlink="">
          <xdr:nvSpPr>
            <xdr:cNvPr id="3092" name="Label14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21</xdr:row>
          <xdr:rowOff>0</xdr:rowOff>
        </xdr:from>
        <xdr:to>
          <xdr:col>2</xdr:col>
          <xdr:colOff>542925</xdr:colOff>
          <xdr:row>22</xdr:row>
          <xdr:rowOff>38100</xdr:rowOff>
        </xdr:to>
        <xdr:sp macro="" textlink="">
          <xdr:nvSpPr>
            <xdr:cNvPr id="3093" name="Label15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21</xdr:row>
          <xdr:rowOff>180975</xdr:rowOff>
        </xdr:from>
        <xdr:to>
          <xdr:col>4</xdr:col>
          <xdr:colOff>66675</xdr:colOff>
          <xdr:row>23</xdr:row>
          <xdr:rowOff>28575</xdr:rowOff>
        </xdr:to>
        <xdr:sp macro="" textlink="">
          <xdr:nvSpPr>
            <xdr:cNvPr id="3097" name="Label19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12</xdr:row>
          <xdr:rowOff>0</xdr:rowOff>
        </xdr:from>
        <xdr:to>
          <xdr:col>7</xdr:col>
          <xdr:colOff>600075</xdr:colOff>
          <xdr:row>13</xdr:row>
          <xdr:rowOff>38100</xdr:rowOff>
        </xdr:to>
        <xdr:sp macro="" textlink="">
          <xdr:nvSpPr>
            <xdr:cNvPr id="3098" name="TBI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13</xdr:row>
          <xdr:rowOff>0</xdr:rowOff>
        </xdr:from>
        <xdr:to>
          <xdr:col>7</xdr:col>
          <xdr:colOff>600075</xdr:colOff>
          <xdr:row>14</xdr:row>
          <xdr:rowOff>38100</xdr:rowOff>
        </xdr:to>
        <xdr:sp macro="" textlink="">
          <xdr:nvSpPr>
            <xdr:cNvPr id="3099" name="TPENJAS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13</xdr:row>
          <xdr:rowOff>180975</xdr:rowOff>
        </xdr:from>
        <xdr:to>
          <xdr:col>7</xdr:col>
          <xdr:colOff>600075</xdr:colOff>
          <xdr:row>15</xdr:row>
          <xdr:rowOff>28575</xdr:rowOff>
        </xdr:to>
        <xdr:sp macro="" textlink="">
          <xdr:nvSpPr>
            <xdr:cNvPr id="3100" name="TINGGRIS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15</xdr:row>
          <xdr:rowOff>0</xdr:rowOff>
        </xdr:from>
        <xdr:to>
          <xdr:col>7</xdr:col>
          <xdr:colOff>600075</xdr:colOff>
          <xdr:row>16</xdr:row>
          <xdr:rowOff>38100</xdr:rowOff>
        </xdr:to>
        <xdr:sp macro="" textlink="">
          <xdr:nvSpPr>
            <xdr:cNvPr id="3101" name="TMTK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15</xdr:row>
          <xdr:rowOff>180975</xdr:rowOff>
        </xdr:from>
        <xdr:to>
          <xdr:col>7</xdr:col>
          <xdr:colOff>600075</xdr:colOff>
          <xdr:row>17</xdr:row>
          <xdr:rowOff>28575</xdr:rowOff>
        </xdr:to>
        <xdr:sp macro="" textlink="">
          <xdr:nvSpPr>
            <xdr:cNvPr id="3102" name="TIPS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16</xdr:row>
          <xdr:rowOff>171450</xdr:rowOff>
        </xdr:from>
        <xdr:to>
          <xdr:col>7</xdr:col>
          <xdr:colOff>600075</xdr:colOff>
          <xdr:row>18</xdr:row>
          <xdr:rowOff>19050</xdr:rowOff>
        </xdr:to>
        <xdr:sp macro="" textlink="">
          <xdr:nvSpPr>
            <xdr:cNvPr id="3103" name="TBD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18</xdr:row>
          <xdr:rowOff>0</xdr:rowOff>
        </xdr:from>
        <xdr:to>
          <xdr:col>7</xdr:col>
          <xdr:colOff>600075</xdr:colOff>
          <xdr:row>19</xdr:row>
          <xdr:rowOff>38100</xdr:rowOff>
        </xdr:to>
        <xdr:sp macro="" textlink="">
          <xdr:nvSpPr>
            <xdr:cNvPr id="3104" name="TMULOK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19</xdr:row>
          <xdr:rowOff>19050</xdr:rowOff>
        </xdr:from>
        <xdr:to>
          <xdr:col>7</xdr:col>
          <xdr:colOff>600075</xdr:colOff>
          <xdr:row>20</xdr:row>
          <xdr:rowOff>57150</xdr:rowOff>
        </xdr:to>
        <xdr:sp macro="" textlink="">
          <xdr:nvSpPr>
            <xdr:cNvPr id="3105" name="TTIK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20</xdr:row>
          <xdr:rowOff>0</xdr:rowOff>
        </xdr:from>
        <xdr:to>
          <xdr:col>7</xdr:col>
          <xdr:colOff>600075</xdr:colOff>
          <xdr:row>21</xdr:row>
          <xdr:rowOff>38100</xdr:rowOff>
        </xdr:to>
        <xdr:sp macro="" textlink="">
          <xdr:nvSpPr>
            <xdr:cNvPr id="3106" name="TIPA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20</xdr:row>
          <xdr:rowOff>180975</xdr:rowOff>
        </xdr:from>
        <xdr:to>
          <xdr:col>7</xdr:col>
          <xdr:colOff>590550</xdr:colOff>
          <xdr:row>22</xdr:row>
          <xdr:rowOff>28575</xdr:rowOff>
        </xdr:to>
        <xdr:sp macro="" textlink="">
          <xdr:nvSpPr>
            <xdr:cNvPr id="3107" name="TSENI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0</xdr:rowOff>
        </xdr:from>
        <xdr:to>
          <xdr:col>7</xdr:col>
          <xdr:colOff>590550</xdr:colOff>
          <xdr:row>23</xdr:row>
          <xdr:rowOff>38100</xdr:rowOff>
        </xdr:to>
        <xdr:sp macro="" textlink="">
          <xdr:nvSpPr>
            <xdr:cNvPr id="3108" name="TDIRI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2</xdr:row>
          <xdr:rowOff>28575</xdr:rowOff>
        </xdr:from>
        <xdr:to>
          <xdr:col>13</xdr:col>
          <xdr:colOff>19050</xdr:colOff>
          <xdr:row>2</xdr:row>
          <xdr:rowOff>323850</xdr:rowOff>
        </xdr:to>
        <xdr:sp macro="" textlink="">
          <xdr:nvSpPr>
            <xdr:cNvPr id="3109" name="Tcari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3</xdr:row>
          <xdr:rowOff>104775</xdr:rowOff>
        </xdr:from>
        <xdr:to>
          <xdr:col>10</xdr:col>
          <xdr:colOff>38100</xdr:colOff>
          <xdr:row>5</xdr:row>
          <xdr:rowOff>85725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85725</xdr:rowOff>
        </xdr:from>
        <xdr:to>
          <xdr:col>2</xdr:col>
          <xdr:colOff>533400</xdr:colOff>
          <xdr:row>9</xdr:row>
          <xdr:rowOff>123825</xdr:rowOff>
        </xdr:to>
        <xdr:sp macro="" textlink="">
          <xdr:nvSpPr>
            <xdr:cNvPr id="3112" name="Label16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8</xdr:row>
          <xdr:rowOff>66675</xdr:rowOff>
        </xdr:from>
        <xdr:to>
          <xdr:col>7</xdr:col>
          <xdr:colOff>600075</xdr:colOff>
          <xdr:row>9</xdr:row>
          <xdr:rowOff>104775</xdr:rowOff>
        </xdr:to>
        <xdr:sp macro="" textlink="">
          <xdr:nvSpPr>
            <xdr:cNvPr id="3113" name="Label17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23</xdr:row>
          <xdr:rowOff>28575</xdr:rowOff>
        </xdr:from>
        <xdr:to>
          <xdr:col>4</xdr:col>
          <xdr:colOff>66675</xdr:colOff>
          <xdr:row>24</xdr:row>
          <xdr:rowOff>66675</xdr:rowOff>
        </xdr:to>
        <xdr:sp macro="" textlink="">
          <xdr:nvSpPr>
            <xdr:cNvPr id="3115" name="Label18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24</xdr:row>
          <xdr:rowOff>28575</xdr:rowOff>
        </xdr:from>
        <xdr:to>
          <xdr:col>4</xdr:col>
          <xdr:colOff>57150</xdr:colOff>
          <xdr:row>25</xdr:row>
          <xdr:rowOff>66675</xdr:rowOff>
        </xdr:to>
        <xdr:sp macro="" textlink="">
          <xdr:nvSpPr>
            <xdr:cNvPr id="3116" name="Label20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23</xdr:row>
          <xdr:rowOff>0</xdr:rowOff>
        </xdr:from>
        <xdr:to>
          <xdr:col>6</xdr:col>
          <xdr:colOff>600075</xdr:colOff>
          <xdr:row>24</xdr:row>
          <xdr:rowOff>38100</xdr:rowOff>
        </xdr:to>
        <xdr:sp macro="" textlink="">
          <xdr:nvSpPr>
            <xdr:cNvPr id="3118" name="TextBox1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180975</xdr:rowOff>
        </xdr:from>
        <xdr:to>
          <xdr:col>7</xdr:col>
          <xdr:colOff>590550</xdr:colOff>
          <xdr:row>24</xdr:row>
          <xdr:rowOff>28575</xdr:rowOff>
        </xdr:to>
        <xdr:sp macro="" textlink="">
          <xdr:nvSpPr>
            <xdr:cNvPr id="3120" name="TJUMLA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24</xdr:row>
          <xdr:rowOff>9525</xdr:rowOff>
        </xdr:from>
        <xdr:to>
          <xdr:col>8</xdr:col>
          <xdr:colOff>9525</xdr:colOff>
          <xdr:row>25</xdr:row>
          <xdr:rowOff>57150</xdr:rowOff>
        </xdr:to>
        <xdr:sp macro="" textlink="">
          <xdr:nvSpPr>
            <xdr:cNvPr id="3122" name="T_RATA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232588</xdr:colOff>
      <xdr:row>1</xdr:row>
      <xdr:rowOff>0</xdr:rowOff>
    </xdr:from>
    <xdr:to>
      <xdr:col>14</xdr:col>
      <xdr:colOff>315127</xdr:colOff>
      <xdr:row>3</xdr:row>
      <xdr:rowOff>15031</xdr:rowOff>
    </xdr:to>
    <xdr:grpSp>
      <xdr:nvGrpSpPr>
        <xdr:cNvPr id="45" name="Group 44"/>
        <xdr:cNvGrpSpPr/>
      </xdr:nvGrpSpPr>
      <xdr:grpSpPr>
        <a:xfrm>
          <a:off x="7542472" y="188285"/>
          <a:ext cx="691696" cy="646339"/>
          <a:chOff x="9978571" y="4116162"/>
          <a:chExt cx="691696" cy="646339"/>
        </a:xfrm>
      </xdr:grpSpPr>
      <xdr:sp macro="[0]!MENUUTAMA" textlink="">
        <xdr:nvSpPr>
          <xdr:cNvPr id="46" name="Bevel 45"/>
          <xdr:cNvSpPr/>
        </xdr:nvSpPr>
        <xdr:spPr>
          <a:xfrm>
            <a:off x="10023929" y="4410985"/>
            <a:ext cx="612321" cy="351516"/>
          </a:xfrm>
          <a:prstGeom prst="bevel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000"/>
              <a:t>HOME</a:t>
            </a:r>
          </a:p>
        </xdr:txBody>
      </xdr:sp>
      <xdr:sp macro="" textlink="">
        <xdr:nvSpPr>
          <xdr:cNvPr id="47" name="Isosceles Triangle 46"/>
          <xdr:cNvSpPr/>
        </xdr:nvSpPr>
        <xdr:spPr>
          <a:xfrm>
            <a:off x="9978571" y="4116162"/>
            <a:ext cx="691696" cy="328839"/>
          </a:xfrm>
          <a:prstGeom prst="triangl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4</xdr:row>
      <xdr:rowOff>28573</xdr:rowOff>
    </xdr:from>
    <xdr:to>
      <xdr:col>7</xdr:col>
      <xdr:colOff>257174</xdr:colOff>
      <xdr:row>16</xdr:row>
      <xdr:rowOff>75388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790573"/>
          <a:ext cx="3790949" cy="245664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133352</xdr:colOff>
      <xdr:row>4</xdr:row>
      <xdr:rowOff>88817</xdr:rowOff>
    </xdr:from>
    <xdr:to>
      <xdr:col>2</xdr:col>
      <xdr:colOff>38100</xdr:colOff>
      <xdr:row>6</xdr:row>
      <xdr:rowOff>153649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2" y="850817"/>
          <a:ext cx="514348" cy="4458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123825</xdr:rowOff>
        </xdr:from>
        <xdr:to>
          <xdr:col>2</xdr:col>
          <xdr:colOff>514350</xdr:colOff>
          <xdr:row>9</xdr:row>
          <xdr:rowOff>152400</xdr:rowOff>
        </xdr:to>
        <xdr:sp macro="" textlink="">
          <xdr:nvSpPr>
            <xdr:cNvPr id="4097" name="Label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7</xdr:row>
          <xdr:rowOff>114300</xdr:rowOff>
        </xdr:from>
        <xdr:to>
          <xdr:col>2</xdr:col>
          <xdr:colOff>533400</xdr:colOff>
          <xdr:row>8</xdr:row>
          <xdr:rowOff>142875</xdr:rowOff>
        </xdr:to>
        <xdr:sp macro="" textlink="">
          <xdr:nvSpPr>
            <xdr:cNvPr id="4098" name="Label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9</xdr:row>
          <xdr:rowOff>123825</xdr:rowOff>
        </xdr:from>
        <xdr:to>
          <xdr:col>2</xdr:col>
          <xdr:colOff>457200</xdr:colOff>
          <xdr:row>10</xdr:row>
          <xdr:rowOff>152400</xdr:rowOff>
        </xdr:to>
        <xdr:sp macro="" textlink="">
          <xdr:nvSpPr>
            <xdr:cNvPr id="4099" name="Label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11</xdr:row>
          <xdr:rowOff>95250</xdr:rowOff>
        </xdr:from>
        <xdr:to>
          <xdr:col>2</xdr:col>
          <xdr:colOff>485775</xdr:colOff>
          <xdr:row>12</xdr:row>
          <xdr:rowOff>104775</xdr:rowOff>
        </xdr:to>
        <xdr:sp macro="" textlink="">
          <xdr:nvSpPr>
            <xdr:cNvPr id="4100" name="Label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10</xdr:row>
          <xdr:rowOff>123825</xdr:rowOff>
        </xdr:from>
        <xdr:to>
          <xdr:col>2</xdr:col>
          <xdr:colOff>466725</xdr:colOff>
          <xdr:row>11</xdr:row>
          <xdr:rowOff>133350</xdr:rowOff>
        </xdr:to>
        <xdr:sp macro="" textlink="">
          <xdr:nvSpPr>
            <xdr:cNvPr id="4101" name="Label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0</xdr:rowOff>
        </xdr:from>
        <xdr:to>
          <xdr:col>10</xdr:col>
          <xdr:colOff>0</xdr:colOff>
          <xdr:row>5</xdr:row>
          <xdr:rowOff>95250</xdr:rowOff>
        </xdr:to>
        <xdr:sp macro="" textlink="">
          <xdr:nvSpPr>
            <xdr:cNvPr id="4108" name="CommandButton1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11</xdr:col>
          <xdr:colOff>447675</xdr:colOff>
          <xdr:row>5</xdr:row>
          <xdr:rowOff>104775</xdr:rowOff>
        </xdr:to>
        <xdr:sp macro="" textlink="">
          <xdr:nvSpPr>
            <xdr:cNvPr id="4109" name="TCARI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7</xdr:row>
          <xdr:rowOff>123825</xdr:rowOff>
        </xdr:from>
        <xdr:to>
          <xdr:col>5</xdr:col>
          <xdr:colOff>266700</xdr:colOff>
          <xdr:row>8</xdr:row>
          <xdr:rowOff>142875</xdr:rowOff>
        </xdr:to>
        <xdr:sp macro="" textlink="">
          <xdr:nvSpPr>
            <xdr:cNvPr id="4110" name="T_NAMA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8</xdr:row>
          <xdr:rowOff>123825</xdr:rowOff>
        </xdr:from>
        <xdr:to>
          <xdr:col>4</xdr:col>
          <xdr:colOff>95250</xdr:colOff>
          <xdr:row>9</xdr:row>
          <xdr:rowOff>133350</xdr:rowOff>
        </xdr:to>
        <xdr:sp macro="" textlink="">
          <xdr:nvSpPr>
            <xdr:cNvPr id="4111" name="T_NIS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9</xdr:row>
          <xdr:rowOff>123825</xdr:rowOff>
        </xdr:from>
        <xdr:to>
          <xdr:col>4</xdr:col>
          <xdr:colOff>85725</xdr:colOff>
          <xdr:row>10</xdr:row>
          <xdr:rowOff>152400</xdr:rowOff>
        </xdr:to>
        <xdr:sp macro="" textlink="">
          <xdr:nvSpPr>
            <xdr:cNvPr id="4112" name="T_TEM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10</xdr:row>
          <xdr:rowOff>114300</xdr:rowOff>
        </xdr:from>
        <xdr:to>
          <xdr:col>4</xdr:col>
          <xdr:colOff>104775</xdr:colOff>
          <xdr:row>11</xdr:row>
          <xdr:rowOff>114300</xdr:rowOff>
        </xdr:to>
        <xdr:sp macro="" textlink="">
          <xdr:nvSpPr>
            <xdr:cNvPr id="4113" name="T_TGL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11</xdr:row>
          <xdr:rowOff>85725</xdr:rowOff>
        </xdr:from>
        <xdr:to>
          <xdr:col>5</xdr:col>
          <xdr:colOff>104775</xdr:colOff>
          <xdr:row>12</xdr:row>
          <xdr:rowOff>114300</xdr:rowOff>
        </xdr:to>
        <xdr:sp macro="" textlink="">
          <xdr:nvSpPr>
            <xdr:cNvPr id="4114" name="T_alama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4</xdr:row>
          <xdr:rowOff>47625</xdr:rowOff>
        </xdr:from>
        <xdr:to>
          <xdr:col>6</xdr:col>
          <xdr:colOff>342900</xdr:colOff>
          <xdr:row>5</xdr:row>
          <xdr:rowOff>142875</xdr:rowOff>
        </xdr:to>
        <xdr:sp macro="" textlink="">
          <xdr:nvSpPr>
            <xdr:cNvPr id="4115" name="Label6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5</xdr:row>
          <xdr:rowOff>0</xdr:rowOff>
        </xdr:from>
        <xdr:to>
          <xdr:col>5</xdr:col>
          <xdr:colOff>304800</xdr:colOff>
          <xdr:row>6</xdr:row>
          <xdr:rowOff>57150</xdr:rowOff>
        </xdr:to>
        <xdr:sp macro="" textlink="">
          <xdr:nvSpPr>
            <xdr:cNvPr id="4116" name="Label7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6</xdr:row>
          <xdr:rowOff>9525</xdr:rowOff>
        </xdr:from>
        <xdr:to>
          <xdr:col>7</xdr:col>
          <xdr:colOff>266700</xdr:colOff>
          <xdr:row>7</xdr:row>
          <xdr:rowOff>0</xdr:rowOff>
        </xdr:to>
        <xdr:sp macro="" textlink="">
          <xdr:nvSpPr>
            <xdr:cNvPr id="4117" name="Label8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152400</xdr:rowOff>
        </xdr:from>
        <xdr:to>
          <xdr:col>10</xdr:col>
          <xdr:colOff>9525</xdr:colOff>
          <xdr:row>7</xdr:row>
          <xdr:rowOff>47625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 Kartu Siswa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34018</xdr:colOff>
      <xdr:row>0</xdr:row>
      <xdr:rowOff>42523</xdr:rowOff>
    </xdr:from>
    <xdr:to>
      <xdr:col>1</xdr:col>
      <xdr:colOff>119063</xdr:colOff>
      <xdr:row>2</xdr:row>
      <xdr:rowOff>170091</xdr:rowOff>
    </xdr:to>
    <xdr:grpSp>
      <xdr:nvGrpSpPr>
        <xdr:cNvPr id="20" name="Group 19"/>
        <xdr:cNvGrpSpPr/>
      </xdr:nvGrpSpPr>
      <xdr:grpSpPr>
        <a:xfrm>
          <a:off x="34018" y="42523"/>
          <a:ext cx="697366" cy="501764"/>
          <a:chOff x="9978571" y="4116162"/>
          <a:chExt cx="691696" cy="646339"/>
        </a:xfrm>
      </xdr:grpSpPr>
      <xdr:sp macro="[0]!MENUUTAMA" textlink="">
        <xdr:nvSpPr>
          <xdr:cNvPr id="21" name="Bevel 20"/>
          <xdr:cNvSpPr/>
        </xdr:nvSpPr>
        <xdr:spPr>
          <a:xfrm>
            <a:off x="10023929" y="4410985"/>
            <a:ext cx="612321" cy="351516"/>
          </a:xfrm>
          <a:prstGeom prst="bevel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000"/>
              <a:t>HOME</a:t>
            </a:r>
          </a:p>
        </xdr:txBody>
      </xdr:sp>
      <xdr:sp macro="" textlink="">
        <xdr:nvSpPr>
          <xdr:cNvPr id="22" name="Isosceles Triangle 21"/>
          <xdr:cNvSpPr/>
        </xdr:nvSpPr>
        <xdr:spPr>
          <a:xfrm>
            <a:off x="9978571" y="4116162"/>
            <a:ext cx="691696" cy="328839"/>
          </a:xfrm>
          <a:prstGeom prst="triangl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ontrol" Target="../activeX/activeX41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5" Type="http://schemas.openxmlformats.org/officeDocument/2006/relationships/image" Target="../media/image2.emf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77" Type="http://schemas.openxmlformats.org/officeDocument/2006/relationships/image" Target="../media/image38.emf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9.emf"/><Relationship Id="rId67" Type="http://schemas.openxmlformats.org/officeDocument/2006/relationships/image" Target="../media/image33.emf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83" Type="http://schemas.openxmlformats.org/officeDocument/2006/relationships/image" Target="../media/image41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4.emf"/><Relationship Id="rId57" Type="http://schemas.openxmlformats.org/officeDocument/2006/relationships/image" Target="../media/image28.emf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8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52.emf"/><Relationship Id="rId34" Type="http://schemas.openxmlformats.org/officeDocument/2006/relationships/ctrlProp" Target="../ctrlProps/ctrlProp2.xml"/><Relationship Id="rId7" Type="http://schemas.openxmlformats.org/officeDocument/2006/relationships/image" Target="../media/image45.emf"/><Relationship Id="rId12" Type="http://schemas.openxmlformats.org/officeDocument/2006/relationships/control" Target="../activeX/activeX46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3.xml"/><Relationship Id="rId11" Type="http://schemas.openxmlformats.org/officeDocument/2006/relationships/image" Target="../media/image47.emf"/><Relationship Id="rId24" Type="http://schemas.openxmlformats.org/officeDocument/2006/relationships/control" Target="../activeX/activeX52.xml"/><Relationship Id="rId32" Type="http://schemas.openxmlformats.org/officeDocument/2006/relationships/control" Target="../activeX/activeX56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54.xml"/><Relationship Id="rId10" Type="http://schemas.openxmlformats.org/officeDocument/2006/relationships/control" Target="../activeX/activeX45.xml"/><Relationship Id="rId19" Type="http://schemas.openxmlformats.org/officeDocument/2006/relationships/image" Target="../media/image51.emf"/><Relationship Id="rId31" Type="http://schemas.openxmlformats.org/officeDocument/2006/relationships/image" Target="../media/image57.emf"/><Relationship Id="rId4" Type="http://schemas.openxmlformats.org/officeDocument/2006/relationships/control" Target="../activeX/activeX42.xml"/><Relationship Id="rId9" Type="http://schemas.openxmlformats.org/officeDocument/2006/relationships/image" Target="../media/image46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5.emf"/><Relationship Id="rId30" Type="http://schemas.openxmlformats.org/officeDocument/2006/relationships/control" Target="../activeX/activeX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D291"/>
  <sheetViews>
    <sheetView showGridLines="0" showRowColHeaders="0" zoomScale="77" zoomScaleNormal="77" workbookViewId="0">
      <selection activeCell="M23" sqref="M23"/>
    </sheetView>
  </sheetViews>
  <sheetFormatPr defaultRowHeight="15" x14ac:dyDescent="0.25"/>
  <cols>
    <col min="1" max="1" width="11.85546875" customWidth="1"/>
    <col min="2" max="2" width="28.5703125" customWidth="1"/>
    <col min="3" max="3" width="16.42578125" customWidth="1"/>
    <col min="4" max="4" width="25.7109375" customWidth="1"/>
    <col min="5" max="5" width="6.42578125" style="33" customWidth="1"/>
    <col min="6" max="6" width="22.42578125" customWidth="1"/>
    <col min="7" max="7" width="12.28515625" customWidth="1"/>
    <col min="8" max="8" width="10" style="33" customWidth="1"/>
    <col min="9" max="10" width="12.140625" customWidth="1"/>
    <col min="11" max="11" width="14.42578125" customWidth="1"/>
    <col min="12" max="12" width="10" customWidth="1"/>
    <col min="13" max="13" width="10.85546875" customWidth="1"/>
    <col min="14" max="14" width="10.140625" customWidth="1"/>
    <col min="15" max="15" width="10.85546875" customWidth="1"/>
    <col min="16" max="16" width="12.85546875" customWidth="1"/>
    <col min="17" max="17" width="19.140625" customWidth="1"/>
    <col min="18" max="18" width="21.42578125" customWidth="1"/>
  </cols>
  <sheetData>
    <row r="1" spans="1:101" ht="35.25" customHeight="1" x14ac:dyDescent="0.4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0"/>
      <c r="M1" s="10"/>
      <c r="N1" s="10"/>
      <c r="O1" s="10"/>
      <c r="P1" s="10"/>
      <c r="Q1" s="11"/>
      <c r="R1" s="11"/>
      <c r="S1" s="1"/>
    </row>
    <row r="2" spans="1:101" ht="23.25" customHeight="1" x14ac:dyDescent="0.25">
      <c r="A2" s="143" t="s">
        <v>82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0"/>
      <c r="M2" s="10"/>
      <c r="N2" s="10"/>
      <c r="O2" s="10"/>
      <c r="P2" s="10"/>
      <c r="Q2" s="11"/>
      <c r="R2" s="11"/>
      <c r="S2" s="1"/>
    </row>
    <row r="3" spans="1:101" ht="18.75" customHeight="1" x14ac:dyDescent="0.25">
      <c r="A3" s="144" t="s">
        <v>81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0"/>
      <c r="M3" s="10"/>
      <c r="N3" s="10"/>
      <c r="O3" s="10"/>
      <c r="P3" s="10"/>
      <c r="Q3" s="11"/>
      <c r="R3" s="11"/>
      <c r="S3" s="1"/>
    </row>
    <row r="4" spans="1:101" x14ac:dyDescent="0.25">
      <c r="A4" s="144" t="s">
        <v>80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2"/>
      <c r="M4" s="12"/>
      <c r="N4" s="12"/>
      <c r="O4" s="12"/>
      <c r="P4" s="12"/>
      <c r="Q4" s="13"/>
      <c r="R4" s="12"/>
    </row>
    <row r="5" spans="1:101" x14ac:dyDescent="0.25">
      <c r="B5" s="62"/>
      <c r="K5" s="3"/>
      <c r="L5" s="12"/>
      <c r="M5" s="12"/>
      <c r="N5" s="12"/>
      <c r="O5" s="12"/>
      <c r="P5" s="12"/>
      <c r="Q5" s="13"/>
      <c r="R5" s="12"/>
    </row>
    <row r="6" spans="1:101" x14ac:dyDescent="0.25">
      <c r="K6" s="3"/>
      <c r="L6" s="12"/>
      <c r="M6" s="12"/>
      <c r="N6" s="12"/>
      <c r="O6" s="12"/>
      <c r="P6" s="12"/>
      <c r="Q6" s="13"/>
      <c r="R6" s="12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</row>
    <row r="7" spans="1:101" ht="30" x14ac:dyDescent="0.25">
      <c r="A7" s="35" t="s">
        <v>258</v>
      </c>
      <c r="B7" s="34" t="s">
        <v>0</v>
      </c>
      <c r="C7" s="34" t="s">
        <v>1</v>
      </c>
      <c r="D7" s="34" t="s">
        <v>2</v>
      </c>
      <c r="E7" s="34" t="s">
        <v>45</v>
      </c>
      <c r="F7" s="34" t="s">
        <v>4</v>
      </c>
      <c r="G7" s="34" t="s">
        <v>8</v>
      </c>
      <c r="H7" s="34" t="s">
        <v>9</v>
      </c>
      <c r="I7" s="34" t="s">
        <v>12</v>
      </c>
      <c r="J7" s="34" t="s">
        <v>6</v>
      </c>
      <c r="K7" s="34" t="s">
        <v>13</v>
      </c>
      <c r="L7" s="12"/>
      <c r="M7" s="12"/>
      <c r="N7" s="12"/>
      <c r="O7" s="12"/>
      <c r="P7" s="12"/>
      <c r="Q7" s="13"/>
      <c r="R7" s="12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</row>
    <row r="8" spans="1:101" x14ac:dyDescent="0.25">
      <c r="A8" s="123" t="s">
        <v>257</v>
      </c>
      <c r="B8" s="113" t="s">
        <v>255</v>
      </c>
      <c r="C8" s="70" t="s">
        <v>269</v>
      </c>
      <c r="D8" s="114">
        <v>38644</v>
      </c>
      <c r="E8" s="115" t="s">
        <v>77</v>
      </c>
      <c r="F8" s="70" t="s">
        <v>270</v>
      </c>
      <c r="G8" s="70" t="s">
        <v>271</v>
      </c>
      <c r="H8" s="116" t="s">
        <v>14</v>
      </c>
      <c r="I8" s="70" t="s">
        <v>272</v>
      </c>
      <c r="J8" s="70" t="s">
        <v>273</v>
      </c>
      <c r="K8" s="117">
        <v>1500000</v>
      </c>
      <c r="L8" s="12"/>
      <c r="M8" s="12"/>
      <c r="N8" s="12"/>
      <c r="O8" s="12"/>
      <c r="P8" s="12"/>
      <c r="Q8" s="13"/>
      <c r="R8" s="12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</row>
    <row r="9" spans="1:101" x14ac:dyDescent="0.25">
      <c r="A9" s="123" t="s">
        <v>259</v>
      </c>
      <c r="B9" s="113" t="s">
        <v>17</v>
      </c>
      <c r="C9" s="70" t="s">
        <v>269</v>
      </c>
      <c r="D9" s="114">
        <v>38565</v>
      </c>
      <c r="E9" s="115" t="s">
        <v>78</v>
      </c>
      <c r="F9" s="70" t="s">
        <v>274</v>
      </c>
      <c r="G9" s="70" t="s">
        <v>271</v>
      </c>
      <c r="H9" s="116" t="s">
        <v>14</v>
      </c>
      <c r="I9" s="70" t="s">
        <v>275</v>
      </c>
      <c r="J9" s="70" t="s">
        <v>276</v>
      </c>
      <c r="K9" s="117">
        <v>2600000</v>
      </c>
      <c r="L9" s="12"/>
      <c r="M9" s="12"/>
      <c r="N9" s="12"/>
      <c r="O9" s="12"/>
      <c r="P9" s="12"/>
      <c r="Q9" s="13"/>
      <c r="R9" s="12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</row>
    <row r="10" spans="1:101" s="32" customFormat="1" x14ac:dyDescent="0.25">
      <c r="A10" s="123">
        <v>14501003</v>
      </c>
      <c r="B10" s="113" t="s">
        <v>18</v>
      </c>
      <c r="C10" s="70" t="s">
        <v>269</v>
      </c>
      <c r="D10" s="114">
        <v>38112</v>
      </c>
      <c r="E10" s="115" t="s">
        <v>77</v>
      </c>
      <c r="F10" s="70" t="s">
        <v>277</v>
      </c>
      <c r="G10" s="70" t="s">
        <v>261</v>
      </c>
      <c r="H10" s="116" t="s">
        <v>14</v>
      </c>
      <c r="I10" s="70" t="s">
        <v>278</v>
      </c>
      <c r="J10" s="70" t="s">
        <v>262</v>
      </c>
      <c r="K10" s="117">
        <v>2600000</v>
      </c>
      <c r="L10" s="12"/>
      <c r="M10" s="12"/>
      <c r="N10" s="12"/>
      <c r="O10" s="12"/>
      <c r="P10" s="12"/>
      <c r="Q10" s="13"/>
      <c r="R10" s="12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</row>
    <row r="11" spans="1:101" x14ac:dyDescent="0.25">
      <c r="A11" s="123">
        <v>14501004</v>
      </c>
      <c r="B11" s="113" t="s">
        <v>19</v>
      </c>
      <c r="C11" s="70" t="s">
        <v>269</v>
      </c>
      <c r="D11" s="114">
        <v>38283</v>
      </c>
      <c r="E11" s="115" t="s">
        <v>77</v>
      </c>
      <c r="F11" s="70" t="s">
        <v>279</v>
      </c>
      <c r="G11" s="70" t="s">
        <v>271</v>
      </c>
      <c r="H11" s="116" t="s">
        <v>14</v>
      </c>
      <c r="I11" s="70" t="s">
        <v>280</v>
      </c>
      <c r="J11" s="70" t="s">
        <v>281</v>
      </c>
      <c r="K11" s="117">
        <v>1500000</v>
      </c>
      <c r="L11" s="12"/>
      <c r="M11" s="12"/>
      <c r="N11" s="12"/>
      <c r="O11" s="12"/>
      <c r="P11" s="12"/>
      <c r="Q11" s="13"/>
      <c r="R11" s="12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</row>
    <row r="12" spans="1:101" s="32" customFormat="1" x14ac:dyDescent="0.25">
      <c r="A12" s="123">
        <v>14501005</v>
      </c>
      <c r="B12" s="113" t="s">
        <v>20</v>
      </c>
      <c r="C12" s="70" t="s">
        <v>282</v>
      </c>
      <c r="D12" s="114">
        <v>38063</v>
      </c>
      <c r="E12" s="115" t="s">
        <v>77</v>
      </c>
      <c r="F12" s="70" t="s">
        <v>283</v>
      </c>
      <c r="G12" s="70" t="s">
        <v>261</v>
      </c>
      <c r="H12" s="116" t="s">
        <v>14</v>
      </c>
      <c r="I12" s="70" t="s">
        <v>284</v>
      </c>
      <c r="J12" s="70" t="s">
        <v>285</v>
      </c>
      <c r="K12" s="117">
        <v>1500000</v>
      </c>
      <c r="L12" s="12"/>
      <c r="M12" s="112">
        <v>112</v>
      </c>
      <c r="N12" s="12"/>
      <c r="O12" s="12"/>
      <c r="P12" s="12"/>
      <c r="Q12" s="13"/>
      <c r="R12" s="12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</row>
    <row r="13" spans="1:101" x14ac:dyDescent="0.25">
      <c r="A13" s="123">
        <v>14501006</v>
      </c>
      <c r="B13" s="113" t="s">
        <v>21</v>
      </c>
      <c r="C13" s="70" t="s">
        <v>269</v>
      </c>
      <c r="D13" s="114">
        <v>38141</v>
      </c>
      <c r="E13" s="115" t="s">
        <v>78</v>
      </c>
      <c r="F13" s="70" t="s">
        <v>286</v>
      </c>
      <c r="G13" s="70" t="s">
        <v>271</v>
      </c>
      <c r="H13" s="116" t="s">
        <v>14</v>
      </c>
      <c r="I13" s="70" t="s">
        <v>287</v>
      </c>
      <c r="J13" s="70" t="s">
        <v>288</v>
      </c>
      <c r="K13" s="117">
        <v>2400000</v>
      </c>
      <c r="L13" s="12"/>
      <c r="M13" s="12"/>
      <c r="N13" s="12"/>
      <c r="O13" s="12"/>
      <c r="P13" s="12"/>
      <c r="Q13" s="13"/>
      <c r="R13" s="12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</row>
    <row r="14" spans="1:101" s="32" customFormat="1" x14ac:dyDescent="0.25">
      <c r="A14" s="123">
        <v>14501007</v>
      </c>
      <c r="B14" s="113" t="s">
        <v>22</v>
      </c>
      <c r="C14" s="70" t="s">
        <v>269</v>
      </c>
      <c r="D14" s="114">
        <v>38571</v>
      </c>
      <c r="E14" s="115" t="s">
        <v>78</v>
      </c>
      <c r="F14" s="70" t="s">
        <v>286</v>
      </c>
      <c r="G14" s="70" t="s">
        <v>261</v>
      </c>
      <c r="H14" s="116" t="s">
        <v>14</v>
      </c>
      <c r="I14" s="70" t="s">
        <v>289</v>
      </c>
      <c r="J14" s="70" t="s">
        <v>290</v>
      </c>
      <c r="K14" s="117">
        <v>1500000</v>
      </c>
      <c r="L14" s="12"/>
      <c r="M14" s="12"/>
      <c r="N14" s="12"/>
      <c r="O14" s="12"/>
      <c r="P14" s="12"/>
      <c r="Q14" s="13"/>
      <c r="R14" s="12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</row>
    <row r="15" spans="1:101" x14ac:dyDescent="0.25">
      <c r="A15" s="123" t="s">
        <v>264</v>
      </c>
      <c r="B15" s="113" t="s">
        <v>23</v>
      </c>
      <c r="C15" s="70" t="s">
        <v>269</v>
      </c>
      <c r="D15" s="114">
        <v>38353</v>
      </c>
      <c r="E15" s="115" t="s">
        <v>77</v>
      </c>
      <c r="F15" s="70" t="s">
        <v>291</v>
      </c>
      <c r="G15" s="70" t="s">
        <v>271</v>
      </c>
      <c r="H15" s="116" t="s">
        <v>14</v>
      </c>
      <c r="I15" s="70" t="s">
        <v>292</v>
      </c>
      <c r="J15" s="70" t="s">
        <v>293</v>
      </c>
      <c r="K15" s="117">
        <v>3000000</v>
      </c>
      <c r="L15" s="12"/>
      <c r="M15" s="12"/>
      <c r="N15" s="12"/>
      <c r="O15" s="12"/>
      <c r="P15" s="12"/>
      <c r="Q15" s="13"/>
      <c r="R15" s="12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</row>
    <row r="16" spans="1:101" s="32" customFormat="1" x14ac:dyDescent="0.25">
      <c r="A16" s="123">
        <v>14501009</v>
      </c>
      <c r="B16" s="113" t="s">
        <v>24</v>
      </c>
      <c r="C16" s="70" t="s">
        <v>269</v>
      </c>
      <c r="D16" s="114">
        <v>38104</v>
      </c>
      <c r="E16" s="115" t="s">
        <v>77</v>
      </c>
      <c r="F16" s="70" t="s">
        <v>294</v>
      </c>
      <c r="G16" s="70" t="s">
        <v>261</v>
      </c>
      <c r="H16" s="116" t="s">
        <v>14</v>
      </c>
      <c r="I16" s="70" t="s">
        <v>295</v>
      </c>
      <c r="J16" s="70" t="s">
        <v>273</v>
      </c>
      <c r="K16" s="117">
        <v>1200000</v>
      </c>
      <c r="L16" s="12"/>
      <c r="M16" s="12"/>
      <c r="N16" s="12"/>
      <c r="O16" s="12"/>
      <c r="P16" s="12"/>
      <c r="Q16" s="13"/>
      <c r="R16" s="12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</row>
    <row r="17" spans="1:101" s="32" customFormat="1" x14ac:dyDescent="0.25">
      <c r="A17" s="123">
        <v>14501010</v>
      </c>
      <c r="B17" s="113" t="s">
        <v>25</v>
      </c>
      <c r="C17" s="70" t="s">
        <v>296</v>
      </c>
      <c r="D17" s="114">
        <v>38583</v>
      </c>
      <c r="E17" s="115" t="s">
        <v>77</v>
      </c>
      <c r="F17" s="70" t="s">
        <v>297</v>
      </c>
      <c r="G17" s="70" t="s">
        <v>271</v>
      </c>
      <c r="H17" s="116" t="s">
        <v>14</v>
      </c>
      <c r="I17" s="70" t="s">
        <v>298</v>
      </c>
      <c r="J17" s="70" t="s">
        <v>299</v>
      </c>
      <c r="K17" s="117">
        <v>1500000</v>
      </c>
      <c r="L17" s="12"/>
      <c r="M17" s="12"/>
      <c r="N17" s="12"/>
      <c r="O17" s="12"/>
      <c r="P17" s="12"/>
      <c r="Q17" s="13"/>
      <c r="R17" s="12"/>
      <c r="S17" s="12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</row>
    <row r="18" spans="1:101" x14ac:dyDescent="0.25">
      <c r="A18" s="123">
        <v>14501011</v>
      </c>
      <c r="B18" s="113" t="s">
        <v>26</v>
      </c>
      <c r="C18" s="70" t="s">
        <v>269</v>
      </c>
      <c r="D18" s="114">
        <v>38418</v>
      </c>
      <c r="E18" s="115" t="s">
        <v>77</v>
      </c>
      <c r="F18" s="70" t="s">
        <v>300</v>
      </c>
      <c r="G18" s="70" t="s">
        <v>261</v>
      </c>
      <c r="H18" s="116" t="s">
        <v>14</v>
      </c>
      <c r="I18" s="70" t="s">
        <v>301</v>
      </c>
      <c r="J18" s="70" t="s">
        <v>302</v>
      </c>
      <c r="K18" s="117">
        <v>2000000</v>
      </c>
      <c r="L18" s="12"/>
      <c r="M18" s="12"/>
      <c r="N18" s="12"/>
      <c r="O18" s="12"/>
      <c r="P18" s="12"/>
      <c r="Q18" s="13"/>
      <c r="R18" s="12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</row>
    <row r="19" spans="1:101" s="32" customFormat="1" x14ac:dyDescent="0.25">
      <c r="A19" s="123">
        <v>14501013</v>
      </c>
      <c r="B19" s="113" t="s">
        <v>27</v>
      </c>
      <c r="C19" s="70" t="s">
        <v>269</v>
      </c>
      <c r="D19" s="114">
        <v>38569</v>
      </c>
      <c r="E19" s="115" t="s">
        <v>78</v>
      </c>
      <c r="F19" s="70" t="s">
        <v>303</v>
      </c>
      <c r="G19" s="70" t="s">
        <v>271</v>
      </c>
      <c r="H19" s="116" t="s">
        <v>14</v>
      </c>
      <c r="I19" s="70" t="s">
        <v>304</v>
      </c>
      <c r="J19" s="70" t="s">
        <v>305</v>
      </c>
      <c r="K19" s="117">
        <v>900000</v>
      </c>
      <c r="L19" s="12"/>
      <c r="M19" s="12"/>
      <c r="N19" s="12"/>
      <c r="O19" s="12"/>
      <c r="P19" s="12"/>
      <c r="Q19" s="13"/>
      <c r="R19" s="12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</row>
    <row r="20" spans="1:101" x14ac:dyDescent="0.25">
      <c r="A20" s="123">
        <v>14501014</v>
      </c>
      <c r="B20" s="113" t="s">
        <v>28</v>
      </c>
      <c r="C20" s="70" t="s">
        <v>269</v>
      </c>
      <c r="D20" s="114">
        <v>38491</v>
      </c>
      <c r="E20" s="115" t="s">
        <v>77</v>
      </c>
      <c r="F20" s="70" t="s">
        <v>306</v>
      </c>
      <c r="G20" s="70" t="s">
        <v>261</v>
      </c>
      <c r="H20" s="116" t="s">
        <v>14</v>
      </c>
      <c r="I20" s="70" t="s">
        <v>307</v>
      </c>
      <c r="J20" s="70" t="s">
        <v>308</v>
      </c>
      <c r="K20" s="117">
        <v>1200000</v>
      </c>
      <c r="L20" s="12"/>
      <c r="M20" s="12"/>
      <c r="N20" s="12"/>
      <c r="O20" s="12"/>
      <c r="P20" s="12"/>
      <c r="Q20" s="13"/>
      <c r="R20" s="12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</row>
    <row r="21" spans="1:101" s="32" customFormat="1" x14ac:dyDescent="0.25">
      <c r="A21" s="123">
        <v>14501015</v>
      </c>
      <c r="B21" s="113" t="s">
        <v>29</v>
      </c>
      <c r="C21" s="70" t="s">
        <v>269</v>
      </c>
      <c r="D21" s="114">
        <v>38247</v>
      </c>
      <c r="E21" s="115" t="s">
        <v>78</v>
      </c>
      <c r="F21" s="70" t="s">
        <v>309</v>
      </c>
      <c r="G21" s="70" t="s">
        <v>271</v>
      </c>
      <c r="H21" s="116" t="s">
        <v>14</v>
      </c>
      <c r="I21" s="70" t="s">
        <v>310</v>
      </c>
      <c r="J21" s="70" t="s">
        <v>311</v>
      </c>
      <c r="K21" s="117">
        <v>2600000</v>
      </c>
      <c r="L21" s="12"/>
      <c r="M21" s="12"/>
      <c r="N21" s="12"/>
      <c r="O21" s="12"/>
      <c r="P21" s="12"/>
      <c r="Q21" s="13"/>
      <c r="R21" s="12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</row>
    <row r="22" spans="1:101" x14ac:dyDescent="0.25">
      <c r="A22" s="123">
        <v>14501016</v>
      </c>
      <c r="B22" s="113" t="s">
        <v>30</v>
      </c>
      <c r="C22" s="70" t="s">
        <v>269</v>
      </c>
      <c r="D22" s="114">
        <v>38551</v>
      </c>
      <c r="E22" s="115" t="s">
        <v>77</v>
      </c>
      <c r="F22" s="70" t="s">
        <v>312</v>
      </c>
      <c r="G22" s="70" t="s">
        <v>261</v>
      </c>
      <c r="H22" s="116" t="s">
        <v>14</v>
      </c>
      <c r="I22" s="70" t="s">
        <v>280</v>
      </c>
      <c r="J22" s="70" t="s">
        <v>313</v>
      </c>
      <c r="K22" s="117">
        <v>2000000</v>
      </c>
      <c r="L22" s="12"/>
      <c r="M22" s="12"/>
      <c r="N22" s="12"/>
      <c r="O22" s="12"/>
      <c r="P22" s="12"/>
      <c r="Q22" s="13"/>
      <c r="R22" s="12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</row>
    <row r="23" spans="1:101" x14ac:dyDescent="0.25">
      <c r="A23" s="123">
        <v>14501018</v>
      </c>
      <c r="B23" s="113" t="s">
        <v>31</v>
      </c>
      <c r="C23" s="70" t="s">
        <v>314</v>
      </c>
      <c r="D23" s="114">
        <v>38481</v>
      </c>
      <c r="E23" s="115" t="s">
        <v>78</v>
      </c>
      <c r="F23" s="70" t="s">
        <v>306</v>
      </c>
      <c r="G23" s="70" t="s">
        <v>271</v>
      </c>
      <c r="H23" s="116" t="s">
        <v>14</v>
      </c>
      <c r="I23" s="70" t="s">
        <v>315</v>
      </c>
      <c r="J23" s="70" t="s">
        <v>316</v>
      </c>
      <c r="K23" s="117">
        <v>1500000</v>
      </c>
      <c r="L23" s="12"/>
      <c r="M23" s="12"/>
      <c r="N23" s="12"/>
      <c r="O23" s="12"/>
      <c r="P23" s="12"/>
      <c r="Q23" s="13"/>
      <c r="R23" s="12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</row>
    <row r="24" spans="1:101" s="32" customFormat="1" x14ac:dyDescent="0.25">
      <c r="A24" s="123">
        <v>14501019</v>
      </c>
      <c r="B24" s="113" t="s">
        <v>32</v>
      </c>
      <c r="C24" s="70" t="s">
        <v>269</v>
      </c>
      <c r="D24" s="114">
        <v>38354</v>
      </c>
      <c r="E24" s="115" t="s">
        <v>77</v>
      </c>
      <c r="F24" s="70" t="s">
        <v>317</v>
      </c>
      <c r="G24" s="70" t="s">
        <v>261</v>
      </c>
      <c r="H24" s="116" t="s">
        <v>14</v>
      </c>
      <c r="I24" s="70" t="s">
        <v>318</v>
      </c>
      <c r="J24" s="70" t="s">
        <v>273</v>
      </c>
      <c r="K24" s="117">
        <v>2000000</v>
      </c>
      <c r="L24" s="12"/>
      <c r="M24" s="12"/>
      <c r="N24" s="12"/>
      <c r="O24" s="12"/>
      <c r="P24" s="12"/>
      <c r="Q24" s="13"/>
      <c r="R24" s="12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</row>
    <row r="25" spans="1:101" x14ac:dyDescent="0.25">
      <c r="A25" s="123">
        <v>14501020</v>
      </c>
      <c r="B25" s="113" t="s">
        <v>33</v>
      </c>
      <c r="C25" s="70" t="s">
        <v>269</v>
      </c>
      <c r="D25" s="114">
        <v>38544</v>
      </c>
      <c r="E25" s="115" t="s">
        <v>77</v>
      </c>
      <c r="F25" s="70" t="s">
        <v>319</v>
      </c>
      <c r="G25" s="70" t="s">
        <v>271</v>
      </c>
      <c r="H25" s="116" t="s">
        <v>14</v>
      </c>
      <c r="I25" s="70" t="s">
        <v>320</v>
      </c>
      <c r="J25" s="70" t="s">
        <v>285</v>
      </c>
      <c r="K25" s="117">
        <v>2400000</v>
      </c>
      <c r="L25" s="12"/>
      <c r="M25" s="12"/>
      <c r="N25" s="12"/>
      <c r="O25" s="12"/>
      <c r="P25" s="12"/>
      <c r="Q25" s="13"/>
      <c r="R25" s="12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</row>
    <row r="26" spans="1:101" s="32" customFormat="1" x14ac:dyDescent="0.25">
      <c r="A26" s="123">
        <v>14501021</v>
      </c>
      <c r="B26" s="113" t="s">
        <v>34</v>
      </c>
      <c r="C26" s="70" t="s">
        <v>269</v>
      </c>
      <c r="D26" s="114">
        <v>38386</v>
      </c>
      <c r="E26" s="115" t="s">
        <v>77</v>
      </c>
      <c r="F26" s="70" t="s">
        <v>321</v>
      </c>
      <c r="G26" s="70" t="s">
        <v>261</v>
      </c>
      <c r="H26" s="116" t="s">
        <v>14</v>
      </c>
      <c r="I26" s="70" t="s">
        <v>322</v>
      </c>
      <c r="J26" s="70" t="s">
        <v>323</v>
      </c>
      <c r="K26" s="117">
        <v>1500000</v>
      </c>
      <c r="L26" s="12"/>
      <c r="M26" s="12"/>
      <c r="N26" s="12"/>
      <c r="O26" s="12"/>
      <c r="P26" s="12"/>
      <c r="Q26" s="13"/>
      <c r="R26" s="12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</row>
    <row r="27" spans="1:101" x14ac:dyDescent="0.25">
      <c r="A27" s="123">
        <v>14501022</v>
      </c>
      <c r="B27" s="113" t="s">
        <v>35</v>
      </c>
      <c r="C27" s="70" t="s">
        <v>269</v>
      </c>
      <c r="D27" s="114">
        <v>38439</v>
      </c>
      <c r="E27" s="115" t="s">
        <v>78</v>
      </c>
      <c r="F27" s="70" t="s">
        <v>324</v>
      </c>
      <c r="G27" s="70" t="s">
        <v>271</v>
      </c>
      <c r="H27" s="116" t="s">
        <v>14</v>
      </c>
      <c r="I27" s="70" t="s">
        <v>325</v>
      </c>
      <c r="J27" s="70" t="s">
        <v>326</v>
      </c>
      <c r="K27" s="117">
        <v>1000000</v>
      </c>
      <c r="L27" s="12"/>
      <c r="M27" s="12"/>
      <c r="N27" s="12"/>
      <c r="O27" s="12"/>
      <c r="P27" s="12"/>
      <c r="Q27" s="13"/>
      <c r="R27" s="12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</row>
    <row r="28" spans="1:101" s="32" customFormat="1" x14ac:dyDescent="0.25">
      <c r="A28" s="123">
        <v>14501023</v>
      </c>
      <c r="B28" s="113" t="s">
        <v>36</v>
      </c>
      <c r="C28" s="70" t="s">
        <v>269</v>
      </c>
      <c r="D28" s="114">
        <v>38216</v>
      </c>
      <c r="E28" s="115" t="s">
        <v>77</v>
      </c>
      <c r="F28" s="70" t="s">
        <v>300</v>
      </c>
      <c r="G28" s="70" t="s">
        <v>261</v>
      </c>
      <c r="H28" s="116" t="s">
        <v>14</v>
      </c>
      <c r="I28" s="70" t="s">
        <v>327</v>
      </c>
      <c r="J28" s="70" t="s">
        <v>328</v>
      </c>
      <c r="K28" s="117">
        <v>1500000</v>
      </c>
      <c r="L28" s="12"/>
      <c r="M28" s="12"/>
      <c r="N28" s="12"/>
      <c r="O28" s="12"/>
      <c r="P28" s="12"/>
      <c r="Q28" s="13"/>
      <c r="R28" s="12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</row>
    <row r="29" spans="1:101" x14ac:dyDescent="0.25">
      <c r="A29" s="123">
        <v>14501024</v>
      </c>
      <c r="B29" s="113" t="s">
        <v>37</v>
      </c>
      <c r="C29" s="70" t="s">
        <v>269</v>
      </c>
      <c r="D29" s="114">
        <v>38343</v>
      </c>
      <c r="E29" s="115" t="s">
        <v>77</v>
      </c>
      <c r="F29" s="70" t="s">
        <v>329</v>
      </c>
      <c r="G29" s="70" t="s">
        <v>271</v>
      </c>
      <c r="H29" s="116" t="s">
        <v>14</v>
      </c>
      <c r="I29" s="70" t="s">
        <v>330</v>
      </c>
      <c r="J29" s="70" t="s">
        <v>331</v>
      </c>
      <c r="K29" s="117">
        <v>2500000</v>
      </c>
      <c r="L29" s="12"/>
      <c r="M29" s="12"/>
      <c r="N29" s="12"/>
      <c r="O29" s="12"/>
      <c r="P29" s="12"/>
      <c r="Q29" s="13"/>
      <c r="R29" s="12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</row>
    <row r="30" spans="1:101" s="32" customFormat="1" x14ac:dyDescent="0.25">
      <c r="A30" s="123">
        <v>14501025</v>
      </c>
      <c r="B30" s="113" t="s">
        <v>38</v>
      </c>
      <c r="C30" s="70" t="s">
        <v>269</v>
      </c>
      <c r="D30" s="114">
        <v>38392</v>
      </c>
      <c r="E30" s="115" t="s">
        <v>77</v>
      </c>
      <c r="F30" s="70" t="s">
        <v>309</v>
      </c>
      <c r="G30" s="70" t="s">
        <v>261</v>
      </c>
      <c r="H30" s="116" t="s">
        <v>14</v>
      </c>
      <c r="I30" s="70" t="s">
        <v>332</v>
      </c>
      <c r="J30" s="70" t="s">
        <v>333</v>
      </c>
      <c r="K30" s="117">
        <v>1500000</v>
      </c>
      <c r="L30" s="12"/>
      <c r="M30" s="12"/>
      <c r="N30" s="12"/>
      <c r="O30" s="12"/>
      <c r="P30" s="12"/>
      <c r="Q30" s="13"/>
      <c r="R30" s="12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</row>
    <row r="31" spans="1:101" x14ac:dyDescent="0.25">
      <c r="A31" s="123">
        <v>14501026</v>
      </c>
      <c r="B31" s="113" t="s">
        <v>39</v>
      </c>
      <c r="C31" s="70" t="s">
        <v>269</v>
      </c>
      <c r="D31" s="114">
        <v>38174</v>
      </c>
      <c r="E31" s="115" t="s">
        <v>78</v>
      </c>
      <c r="F31" s="70" t="s">
        <v>329</v>
      </c>
      <c r="G31" s="70" t="s">
        <v>271</v>
      </c>
      <c r="H31" s="116" t="s">
        <v>14</v>
      </c>
      <c r="I31" s="70" t="s">
        <v>334</v>
      </c>
      <c r="J31" s="70" t="s">
        <v>335</v>
      </c>
      <c r="K31" s="117">
        <v>2500000</v>
      </c>
      <c r="L31" s="12"/>
      <c r="M31" s="12"/>
      <c r="N31" s="12"/>
      <c r="O31" s="12"/>
      <c r="P31" s="12"/>
      <c r="Q31" s="12"/>
      <c r="R31" s="12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</row>
    <row r="32" spans="1:101" s="32" customFormat="1" x14ac:dyDescent="0.25">
      <c r="A32" s="123">
        <v>14501027</v>
      </c>
      <c r="B32" s="113" t="s">
        <v>40</v>
      </c>
      <c r="C32" s="70" t="s">
        <v>269</v>
      </c>
      <c r="D32" s="114">
        <v>38430</v>
      </c>
      <c r="E32" s="115" t="s">
        <v>78</v>
      </c>
      <c r="F32" s="70" t="s">
        <v>336</v>
      </c>
      <c r="G32" s="70" t="s">
        <v>261</v>
      </c>
      <c r="H32" s="116" t="s">
        <v>14</v>
      </c>
      <c r="I32" s="70" t="s">
        <v>337</v>
      </c>
      <c r="J32" s="70" t="s">
        <v>338</v>
      </c>
      <c r="K32" s="117">
        <v>2300000</v>
      </c>
      <c r="L32" s="12"/>
      <c r="M32" s="12"/>
      <c r="N32" s="12"/>
      <c r="O32" s="12"/>
      <c r="P32" s="12"/>
      <c r="Q32" s="12"/>
      <c r="R32" s="12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</row>
    <row r="33" spans="1:121" x14ac:dyDescent="0.25">
      <c r="A33" s="123">
        <v>14501028</v>
      </c>
      <c r="B33" s="113" t="s">
        <v>41</v>
      </c>
      <c r="C33" s="70" t="s">
        <v>269</v>
      </c>
      <c r="D33" s="114">
        <v>38485</v>
      </c>
      <c r="E33" s="115" t="s">
        <v>78</v>
      </c>
      <c r="F33" s="70" t="s">
        <v>324</v>
      </c>
      <c r="G33" s="70" t="s">
        <v>271</v>
      </c>
      <c r="H33" s="116" t="s">
        <v>14</v>
      </c>
      <c r="I33" s="70" t="s">
        <v>339</v>
      </c>
      <c r="J33" s="70" t="s">
        <v>340</v>
      </c>
      <c r="K33" s="117">
        <v>1500000</v>
      </c>
      <c r="L33" s="31"/>
      <c r="M33" s="31"/>
      <c r="N33" s="12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</row>
    <row r="34" spans="1:121" s="32" customFormat="1" x14ac:dyDescent="0.25">
      <c r="A34" s="123">
        <v>14501029</v>
      </c>
      <c r="B34" s="113" t="s">
        <v>42</v>
      </c>
      <c r="C34" s="70" t="s">
        <v>269</v>
      </c>
      <c r="D34" s="114">
        <v>38232</v>
      </c>
      <c r="E34" s="115" t="s">
        <v>77</v>
      </c>
      <c r="F34" s="70" t="s">
        <v>303</v>
      </c>
      <c r="G34" s="70" t="s">
        <v>261</v>
      </c>
      <c r="H34" s="116" t="s">
        <v>14</v>
      </c>
      <c r="I34" s="70" t="s">
        <v>341</v>
      </c>
      <c r="J34" s="70" t="s">
        <v>342</v>
      </c>
      <c r="K34" s="117">
        <v>2400000</v>
      </c>
      <c r="L34" s="31"/>
      <c r="M34" s="31"/>
      <c r="N34" s="12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</row>
    <row r="35" spans="1:121" x14ac:dyDescent="0.25">
      <c r="A35" s="123">
        <v>14501030</v>
      </c>
      <c r="B35" s="113" t="s">
        <v>43</v>
      </c>
      <c r="C35" s="70" t="s">
        <v>269</v>
      </c>
      <c r="D35" s="114">
        <v>38579</v>
      </c>
      <c r="E35" s="115" t="s">
        <v>77</v>
      </c>
      <c r="F35" s="70" t="s">
        <v>297</v>
      </c>
      <c r="G35" s="70" t="s">
        <v>271</v>
      </c>
      <c r="H35" s="116" t="s">
        <v>14</v>
      </c>
      <c r="I35" s="70" t="s">
        <v>343</v>
      </c>
      <c r="J35" s="70" t="s">
        <v>344</v>
      </c>
      <c r="K35" s="117">
        <v>2000000</v>
      </c>
      <c r="L35" s="31"/>
      <c r="M35" s="31"/>
      <c r="N35" s="12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</row>
    <row r="36" spans="1:121" s="32" customFormat="1" x14ac:dyDescent="0.25">
      <c r="A36" s="123">
        <v>14501031</v>
      </c>
      <c r="B36" s="113" t="s">
        <v>44</v>
      </c>
      <c r="C36" s="70" t="s">
        <v>269</v>
      </c>
      <c r="D36" s="114">
        <v>38432</v>
      </c>
      <c r="E36" s="115" t="s">
        <v>78</v>
      </c>
      <c r="F36" s="70" t="s">
        <v>317</v>
      </c>
      <c r="G36" s="70" t="s">
        <v>261</v>
      </c>
      <c r="H36" s="116" t="s">
        <v>14</v>
      </c>
      <c r="I36" s="70" t="s">
        <v>345</v>
      </c>
      <c r="J36" s="70" t="s">
        <v>346</v>
      </c>
      <c r="K36" s="117">
        <v>1500000</v>
      </c>
      <c r="L36" s="31"/>
      <c r="M36" s="31"/>
      <c r="N36" s="12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</row>
    <row r="37" spans="1:121" ht="15" customHeight="1" x14ac:dyDescent="0.25">
      <c r="A37" s="123">
        <v>14501032</v>
      </c>
      <c r="B37" s="113" t="s">
        <v>46</v>
      </c>
      <c r="C37" s="70" t="s">
        <v>269</v>
      </c>
      <c r="D37" s="114">
        <v>38538</v>
      </c>
      <c r="E37" s="115" t="s">
        <v>77</v>
      </c>
      <c r="F37" s="70" t="s">
        <v>300</v>
      </c>
      <c r="G37" s="70" t="s">
        <v>271</v>
      </c>
      <c r="H37" s="116" t="s">
        <v>14</v>
      </c>
      <c r="I37" s="70" t="s">
        <v>347</v>
      </c>
      <c r="J37" s="70" t="s">
        <v>348</v>
      </c>
      <c r="K37" s="117">
        <v>2000000</v>
      </c>
      <c r="L37" s="31"/>
      <c r="M37" s="31"/>
      <c r="N37" s="12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</row>
    <row r="38" spans="1:121" s="32" customFormat="1" ht="15" customHeight="1" x14ac:dyDescent="0.25">
      <c r="A38" s="123">
        <v>14501033</v>
      </c>
      <c r="B38" s="113" t="s">
        <v>47</v>
      </c>
      <c r="C38" s="70" t="s">
        <v>269</v>
      </c>
      <c r="D38" s="114">
        <v>38258</v>
      </c>
      <c r="E38" s="115" t="s">
        <v>77</v>
      </c>
      <c r="F38" s="70" t="s">
        <v>277</v>
      </c>
      <c r="G38" s="70" t="s">
        <v>261</v>
      </c>
      <c r="H38" s="116" t="s">
        <v>14</v>
      </c>
      <c r="I38" s="70" t="s">
        <v>349</v>
      </c>
      <c r="J38" s="70" t="s">
        <v>350</v>
      </c>
      <c r="K38" s="117">
        <v>2400000</v>
      </c>
      <c r="L38" s="31"/>
      <c r="M38" s="31"/>
      <c r="N38" s="12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</row>
    <row r="39" spans="1:121" ht="15" customHeight="1" x14ac:dyDescent="0.25">
      <c r="A39" s="123">
        <v>14501034</v>
      </c>
      <c r="B39" s="113" t="s">
        <v>48</v>
      </c>
      <c r="C39" s="70" t="s">
        <v>269</v>
      </c>
      <c r="D39" s="114">
        <v>38608</v>
      </c>
      <c r="E39" s="115" t="s">
        <v>77</v>
      </c>
      <c r="F39" s="70" t="s">
        <v>306</v>
      </c>
      <c r="G39" s="70" t="s">
        <v>271</v>
      </c>
      <c r="H39" s="116" t="s">
        <v>14</v>
      </c>
      <c r="I39" s="70" t="s">
        <v>351</v>
      </c>
      <c r="J39" s="70" t="s">
        <v>299</v>
      </c>
      <c r="K39" s="117">
        <v>2400000</v>
      </c>
      <c r="L39" s="31"/>
      <c r="M39" s="31"/>
      <c r="N39" s="12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</row>
    <row r="40" spans="1:121" s="32" customFormat="1" ht="15" customHeight="1" x14ac:dyDescent="0.25">
      <c r="A40" s="123">
        <v>14501035</v>
      </c>
      <c r="B40" s="113" t="s">
        <v>49</v>
      </c>
      <c r="C40" s="70" t="s">
        <v>269</v>
      </c>
      <c r="D40" s="114">
        <v>38418</v>
      </c>
      <c r="E40" s="115" t="s">
        <v>78</v>
      </c>
      <c r="F40" s="70" t="s">
        <v>277</v>
      </c>
      <c r="G40" s="70" t="s">
        <v>261</v>
      </c>
      <c r="H40" s="116" t="s">
        <v>14</v>
      </c>
      <c r="I40" s="70" t="s">
        <v>325</v>
      </c>
      <c r="J40" s="70" t="s">
        <v>352</v>
      </c>
      <c r="K40" s="117">
        <v>1500000</v>
      </c>
      <c r="L40" s="31"/>
      <c r="M40" s="31"/>
      <c r="N40" s="12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</row>
    <row r="41" spans="1:121" ht="15" customHeight="1" x14ac:dyDescent="0.25">
      <c r="A41" s="123">
        <v>14501036</v>
      </c>
      <c r="B41" s="70" t="s">
        <v>50</v>
      </c>
      <c r="C41" s="70" t="s">
        <v>269</v>
      </c>
      <c r="D41" s="114">
        <v>38112</v>
      </c>
      <c r="E41" s="115" t="s">
        <v>78</v>
      </c>
      <c r="F41" s="70" t="s">
        <v>297</v>
      </c>
      <c r="G41" s="70" t="s">
        <v>271</v>
      </c>
      <c r="H41" s="116" t="s">
        <v>79</v>
      </c>
      <c r="I41" s="70" t="s">
        <v>353</v>
      </c>
      <c r="J41" s="70" t="s">
        <v>354</v>
      </c>
      <c r="K41" s="117">
        <v>1000000</v>
      </c>
      <c r="L41" s="31"/>
      <c r="M41" s="31"/>
      <c r="N41" s="12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</row>
    <row r="42" spans="1:121" s="32" customFormat="1" ht="15" customHeight="1" x14ac:dyDescent="0.25">
      <c r="A42" s="123">
        <v>14501037</v>
      </c>
      <c r="B42" s="70" t="s">
        <v>51</v>
      </c>
      <c r="C42" s="70" t="s">
        <v>269</v>
      </c>
      <c r="D42" s="114">
        <v>38395</v>
      </c>
      <c r="E42" s="115" t="s">
        <v>77</v>
      </c>
      <c r="F42" s="70" t="s">
        <v>283</v>
      </c>
      <c r="G42" s="70" t="s">
        <v>261</v>
      </c>
      <c r="H42" s="116" t="s">
        <v>79</v>
      </c>
      <c r="I42" s="70" t="s">
        <v>355</v>
      </c>
      <c r="J42" s="70" t="s">
        <v>356</v>
      </c>
      <c r="K42" s="117">
        <v>1500000</v>
      </c>
      <c r="L42" s="31"/>
      <c r="M42" s="31"/>
      <c r="N42" s="12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</row>
    <row r="43" spans="1:121" ht="15" customHeight="1" x14ac:dyDescent="0.25">
      <c r="A43" s="123">
        <v>14501038</v>
      </c>
      <c r="B43" s="70" t="s">
        <v>52</v>
      </c>
      <c r="C43" s="70" t="s">
        <v>269</v>
      </c>
      <c r="D43" s="114"/>
      <c r="E43" s="115" t="s">
        <v>78</v>
      </c>
      <c r="F43" s="70"/>
      <c r="G43" s="70"/>
      <c r="H43" s="116" t="s">
        <v>79</v>
      </c>
      <c r="I43" s="70"/>
      <c r="J43" s="70"/>
      <c r="K43" s="117"/>
      <c r="L43" s="31"/>
      <c r="M43" s="31"/>
      <c r="N43" s="12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</row>
    <row r="44" spans="1:121" s="32" customFormat="1" ht="15" customHeight="1" x14ac:dyDescent="0.25">
      <c r="A44" s="123">
        <v>14501039</v>
      </c>
      <c r="B44" s="70" t="s">
        <v>53</v>
      </c>
      <c r="C44" s="70" t="s">
        <v>269</v>
      </c>
      <c r="D44" s="114"/>
      <c r="E44" s="115" t="s">
        <v>78</v>
      </c>
      <c r="F44" s="70"/>
      <c r="G44" s="70"/>
      <c r="H44" s="116" t="s">
        <v>79</v>
      </c>
      <c r="I44" s="70"/>
      <c r="J44" s="70"/>
      <c r="K44" s="117"/>
      <c r="L44" s="31"/>
      <c r="M44" s="31"/>
      <c r="N44" s="12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</row>
    <row r="45" spans="1:121" ht="15" customHeight="1" x14ac:dyDescent="0.25">
      <c r="A45" s="123">
        <v>14501040</v>
      </c>
      <c r="B45" s="70" t="s">
        <v>54</v>
      </c>
      <c r="C45" s="70" t="s">
        <v>269</v>
      </c>
      <c r="D45" s="114"/>
      <c r="E45" s="115" t="s">
        <v>77</v>
      </c>
      <c r="F45" s="70"/>
      <c r="G45" s="70"/>
      <c r="H45" s="116" t="s">
        <v>79</v>
      </c>
      <c r="I45" s="70"/>
      <c r="J45" s="70"/>
      <c r="K45" s="117"/>
      <c r="L45" s="31"/>
      <c r="M45" s="31"/>
      <c r="N45" s="12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</row>
    <row r="46" spans="1:121" s="32" customFormat="1" ht="15" customHeight="1" x14ac:dyDescent="0.25">
      <c r="A46" s="123">
        <v>14501041</v>
      </c>
      <c r="B46" s="70" t="s">
        <v>55</v>
      </c>
      <c r="C46" s="70" t="s">
        <v>269</v>
      </c>
      <c r="D46" s="114"/>
      <c r="E46" s="115" t="s">
        <v>77</v>
      </c>
      <c r="F46" s="70"/>
      <c r="G46" s="70"/>
      <c r="H46" s="116" t="s">
        <v>79</v>
      </c>
      <c r="I46" s="70"/>
      <c r="J46" s="70"/>
      <c r="K46" s="117"/>
      <c r="L46" s="31"/>
      <c r="M46" s="31"/>
      <c r="N46" s="12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</row>
    <row r="47" spans="1:121" ht="15" customHeight="1" x14ac:dyDescent="0.25">
      <c r="A47" s="123">
        <v>14501042</v>
      </c>
      <c r="B47" s="70" t="s">
        <v>56</v>
      </c>
      <c r="C47" s="70" t="s">
        <v>282</v>
      </c>
      <c r="D47" s="114"/>
      <c r="E47" s="115" t="s">
        <v>77</v>
      </c>
      <c r="F47" s="70"/>
      <c r="G47" s="70"/>
      <c r="H47" s="116" t="s">
        <v>79</v>
      </c>
      <c r="I47" s="70"/>
      <c r="J47" s="70"/>
      <c r="K47" s="117"/>
      <c r="L47" s="31"/>
      <c r="M47" s="31"/>
      <c r="N47" s="12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</row>
    <row r="48" spans="1:121" s="32" customFormat="1" ht="15" customHeight="1" x14ac:dyDescent="0.25">
      <c r="A48" s="123">
        <v>14501043</v>
      </c>
      <c r="B48" s="70" t="s">
        <v>57</v>
      </c>
      <c r="C48" s="70" t="s">
        <v>269</v>
      </c>
      <c r="D48" s="114"/>
      <c r="E48" s="115" t="s">
        <v>78</v>
      </c>
      <c r="F48" s="70"/>
      <c r="G48" s="70"/>
      <c r="H48" s="116" t="s">
        <v>79</v>
      </c>
      <c r="I48" s="70"/>
      <c r="J48" s="70"/>
      <c r="K48" s="117"/>
      <c r="L48" s="31"/>
      <c r="M48" s="31"/>
      <c r="N48" s="12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</row>
    <row r="49" spans="1:121" ht="15" customHeight="1" x14ac:dyDescent="0.25">
      <c r="A49" s="123">
        <v>14501044</v>
      </c>
      <c r="B49" s="70" t="s">
        <v>58</v>
      </c>
      <c r="C49" s="70" t="s">
        <v>269</v>
      </c>
      <c r="D49" s="114"/>
      <c r="E49" s="115" t="s">
        <v>77</v>
      </c>
      <c r="F49" s="70"/>
      <c r="G49" s="70"/>
      <c r="H49" s="116" t="s">
        <v>79</v>
      </c>
      <c r="I49" s="70"/>
      <c r="J49" s="70"/>
      <c r="K49" s="117"/>
      <c r="L49" s="31"/>
      <c r="M49" s="31"/>
      <c r="N49" s="12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</row>
    <row r="50" spans="1:121" s="32" customFormat="1" ht="15" customHeight="1" x14ac:dyDescent="0.25">
      <c r="A50" s="123">
        <v>14501045</v>
      </c>
      <c r="B50" s="70" t="s">
        <v>59</v>
      </c>
      <c r="C50" s="70" t="s">
        <v>269</v>
      </c>
      <c r="D50" s="114"/>
      <c r="E50" s="115" t="s">
        <v>77</v>
      </c>
      <c r="F50" s="70"/>
      <c r="G50" s="70"/>
      <c r="H50" s="116" t="s">
        <v>79</v>
      </c>
      <c r="I50" s="70"/>
      <c r="J50" s="70"/>
      <c r="K50" s="117"/>
      <c r="L50" s="31"/>
      <c r="M50" s="31"/>
      <c r="N50" s="12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</row>
    <row r="51" spans="1:121" ht="15" customHeight="1" x14ac:dyDescent="0.25">
      <c r="A51" s="123">
        <v>14501046</v>
      </c>
      <c r="B51" s="70" t="s">
        <v>60</v>
      </c>
      <c r="C51" s="70" t="s">
        <v>269</v>
      </c>
      <c r="D51" s="114"/>
      <c r="E51" s="115" t="s">
        <v>77</v>
      </c>
      <c r="F51" s="70"/>
      <c r="G51" s="70"/>
      <c r="H51" s="116" t="s">
        <v>79</v>
      </c>
      <c r="I51" s="70"/>
      <c r="J51" s="70"/>
      <c r="K51" s="117"/>
      <c r="L51" s="31"/>
      <c r="M51" s="31"/>
      <c r="N51" s="12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</row>
    <row r="52" spans="1:121" s="32" customFormat="1" ht="15" customHeight="1" x14ac:dyDescent="0.25">
      <c r="A52" s="123">
        <v>14501047</v>
      </c>
      <c r="B52" s="70" t="s">
        <v>61</v>
      </c>
      <c r="C52" s="70" t="s">
        <v>269</v>
      </c>
      <c r="D52" s="114"/>
      <c r="E52" s="115" t="s">
        <v>77</v>
      </c>
      <c r="F52" s="70"/>
      <c r="G52" s="70"/>
      <c r="H52" s="116" t="s">
        <v>79</v>
      </c>
      <c r="I52" s="70"/>
      <c r="J52" s="70"/>
      <c r="K52" s="117"/>
      <c r="L52" s="31"/>
      <c r="M52" s="31"/>
      <c r="N52" s="12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</row>
    <row r="53" spans="1:121" ht="15" customHeight="1" x14ac:dyDescent="0.25">
      <c r="A53" s="123">
        <v>14501048</v>
      </c>
      <c r="B53" s="70" t="s">
        <v>62</v>
      </c>
      <c r="C53" s="70" t="s">
        <v>269</v>
      </c>
      <c r="D53" s="114"/>
      <c r="E53" s="115" t="s">
        <v>77</v>
      </c>
      <c r="F53" s="70"/>
      <c r="G53" s="70"/>
      <c r="H53" s="116" t="s">
        <v>79</v>
      </c>
      <c r="I53" s="70"/>
      <c r="J53" s="70"/>
      <c r="K53" s="117"/>
      <c r="L53" s="31"/>
      <c r="M53" s="31"/>
      <c r="N53" s="12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</row>
    <row r="54" spans="1:121" s="32" customFormat="1" ht="15" customHeight="1" x14ac:dyDescent="0.25">
      <c r="A54" s="123">
        <v>14501049</v>
      </c>
      <c r="B54" s="70" t="s">
        <v>63</v>
      </c>
      <c r="C54" s="70" t="s">
        <v>269</v>
      </c>
      <c r="D54" s="114"/>
      <c r="E54" s="115" t="s">
        <v>77</v>
      </c>
      <c r="F54" s="70"/>
      <c r="G54" s="70"/>
      <c r="H54" s="116" t="s">
        <v>79</v>
      </c>
      <c r="I54" s="70"/>
      <c r="J54" s="70"/>
      <c r="K54" s="117"/>
      <c r="L54" s="31"/>
      <c r="M54" s="31"/>
      <c r="N54" s="12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</row>
    <row r="55" spans="1:121" ht="15" customHeight="1" x14ac:dyDescent="0.25">
      <c r="A55" s="123">
        <v>14501050</v>
      </c>
      <c r="B55" s="70" t="s">
        <v>64</v>
      </c>
      <c r="C55" s="70" t="s">
        <v>269</v>
      </c>
      <c r="D55" s="114"/>
      <c r="E55" s="115" t="s">
        <v>78</v>
      </c>
      <c r="F55" s="70"/>
      <c r="G55" s="70"/>
      <c r="H55" s="116" t="s">
        <v>79</v>
      </c>
      <c r="I55" s="70"/>
      <c r="J55" s="70"/>
      <c r="K55" s="117"/>
      <c r="L55" s="31"/>
      <c r="M55" s="31"/>
      <c r="N55" s="12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</row>
    <row r="56" spans="1:121" s="32" customFormat="1" ht="15" customHeight="1" x14ac:dyDescent="0.25">
      <c r="A56" s="123">
        <v>14501051</v>
      </c>
      <c r="B56" s="70" t="s">
        <v>256</v>
      </c>
      <c r="C56" s="70" t="s">
        <v>269</v>
      </c>
      <c r="D56" s="114"/>
      <c r="E56" s="115" t="s">
        <v>77</v>
      </c>
      <c r="F56" s="70"/>
      <c r="G56" s="70"/>
      <c r="H56" s="116" t="s">
        <v>79</v>
      </c>
      <c r="I56" s="70"/>
      <c r="J56" s="70"/>
      <c r="K56" s="117"/>
      <c r="L56" s="31"/>
      <c r="M56" s="31"/>
      <c r="N56" s="12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</row>
    <row r="57" spans="1:121" ht="15" customHeight="1" x14ac:dyDescent="0.25">
      <c r="A57" s="123">
        <v>14501052</v>
      </c>
      <c r="B57" s="70" t="s">
        <v>65</v>
      </c>
      <c r="C57" s="70" t="s">
        <v>269</v>
      </c>
      <c r="D57" s="114"/>
      <c r="E57" s="115" t="s">
        <v>78</v>
      </c>
      <c r="F57" s="70"/>
      <c r="G57" s="70"/>
      <c r="H57" s="116" t="s">
        <v>79</v>
      </c>
      <c r="I57" s="70"/>
      <c r="J57" s="70"/>
      <c r="K57" s="117"/>
      <c r="L57" s="31"/>
      <c r="M57" s="31"/>
      <c r="N57" s="12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</row>
    <row r="58" spans="1:121" s="32" customFormat="1" ht="15" customHeight="1" x14ac:dyDescent="0.25">
      <c r="A58" s="123">
        <v>14501053</v>
      </c>
      <c r="B58" s="70" t="s">
        <v>66</v>
      </c>
      <c r="C58" s="70" t="s">
        <v>269</v>
      </c>
      <c r="D58" s="114"/>
      <c r="E58" s="115" t="s">
        <v>77</v>
      </c>
      <c r="F58" s="70"/>
      <c r="G58" s="70"/>
      <c r="H58" s="116" t="s">
        <v>79</v>
      </c>
      <c r="I58" s="70"/>
      <c r="J58" s="70"/>
      <c r="K58" s="117"/>
      <c r="L58" s="31"/>
      <c r="M58" s="31"/>
      <c r="N58" s="12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</row>
    <row r="59" spans="1:121" ht="15" customHeight="1" x14ac:dyDescent="0.25">
      <c r="A59" s="123">
        <v>14501054</v>
      </c>
      <c r="B59" s="70" t="s">
        <v>67</v>
      </c>
      <c r="C59" s="70" t="s">
        <v>296</v>
      </c>
      <c r="D59" s="114"/>
      <c r="E59" s="115" t="s">
        <v>77</v>
      </c>
      <c r="F59" s="70"/>
      <c r="G59" s="70"/>
      <c r="H59" s="116" t="s">
        <v>79</v>
      </c>
      <c r="I59" s="70"/>
      <c r="J59" s="70"/>
      <c r="K59" s="117"/>
      <c r="L59" s="31"/>
      <c r="M59" s="31"/>
      <c r="N59" s="12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</row>
    <row r="60" spans="1:121" s="32" customFormat="1" ht="15" customHeight="1" x14ac:dyDescent="0.25">
      <c r="A60" s="133">
        <v>14501055</v>
      </c>
      <c r="B60" s="70" t="s">
        <v>68</v>
      </c>
      <c r="C60" s="134" t="s">
        <v>269</v>
      </c>
      <c r="D60" s="114"/>
      <c r="E60" s="115" t="s">
        <v>77</v>
      </c>
      <c r="F60" s="70"/>
      <c r="G60" s="70"/>
      <c r="H60" s="116" t="s">
        <v>79</v>
      </c>
      <c r="I60" s="70"/>
      <c r="J60" s="70"/>
      <c r="K60" s="117"/>
      <c r="L60" s="31"/>
      <c r="M60" s="31"/>
      <c r="N60" s="12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</row>
    <row r="61" spans="1:121" ht="15" customHeight="1" x14ac:dyDescent="0.25">
      <c r="A61" s="123">
        <v>14501056</v>
      </c>
      <c r="B61" s="70" t="s">
        <v>69</v>
      </c>
      <c r="C61" s="70" t="s">
        <v>269</v>
      </c>
      <c r="D61" s="114"/>
      <c r="E61" s="115" t="s">
        <v>77</v>
      </c>
      <c r="F61" s="70"/>
      <c r="G61" s="70"/>
      <c r="H61" s="116" t="s">
        <v>79</v>
      </c>
      <c r="I61" s="70"/>
      <c r="J61" s="70"/>
      <c r="K61" s="117"/>
      <c r="L61" s="31"/>
      <c r="M61" s="31"/>
      <c r="N61" s="12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</row>
    <row r="62" spans="1:121" s="32" customFormat="1" ht="15" customHeight="1" x14ac:dyDescent="0.25">
      <c r="A62" s="123">
        <v>14501057</v>
      </c>
      <c r="B62" s="70" t="s">
        <v>70</v>
      </c>
      <c r="C62" s="70" t="s">
        <v>269</v>
      </c>
      <c r="D62" s="114"/>
      <c r="E62" s="115" t="s">
        <v>78</v>
      </c>
      <c r="F62" s="70"/>
      <c r="G62" s="70"/>
      <c r="H62" s="116" t="s">
        <v>79</v>
      </c>
      <c r="I62" s="70"/>
      <c r="J62" s="70"/>
      <c r="K62" s="117"/>
      <c r="L62" s="31"/>
      <c r="M62" s="31"/>
      <c r="N62" s="12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</row>
    <row r="63" spans="1:121" ht="15" customHeight="1" x14ac:dyDescent="0.25">
      <c r="A63" s="123">
        <v>14501058</v>
      </c>
      <c r="B63" s="70" t="s">
        <v>71</v>
      </c>
      <c r="C63" s="70" t="s">
        <v>269</v>
      </c>
      <c r="D63" s="114"/>
      <c r="E63" s="115" t="s">
        <v>78</v>
      </c>
      <c r="F63" s="70"/>
      <c r="G63" s="70"/>
      <c r="H63" s="116" t="s">
        <v>79</v>
      </c>
      <c r="I63" s="70"/>
      <c r="J63" s="70"/>
      <c r="K63" s="117"/>
      <c r="L63" s="31"/>
      <c r="M63" s="31"/>
      <c r="N63" s="12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</row>
    <row r="64" spans="1:121" s="32" customFormat="1" ht="15" customHeight="1" x14ac:dyDescent="0.25">
      <c r="A64" s="123">
        <v>14501059</v>
      </c>
      <c r="B64" s="70" t="s">
        <v>72</v>
      </c>
      <c r="C64" s="70" t="s">
        <v>269</v>
      </c>
      <c r="D64" s="114"/>
      <c r="E64" s="115" t="s">
        <v>78</v>
      </c>
      <c r="F64" s="70"/>
      <c r="G64" s="70"/>
      <c r="H64" s="116" t="s">
        <v>79</v>
      </c>
      <c r="I64" s="70"/>
      <c r="J64" s="70"/>
      <c r="K64" s="117"/>
      <c r="L64" s="31"/>
      <c r="M64" s="31"/>
      <c r="N64" s="12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</row>
    <row r="65" spans="1:212" ht="15" customHeight="1" x14ac:dyDescent="0.25">
      <c r="A65" s="123">
        <v>14501060</v>
      </c>
      <c r="B65" s="70" t="s">
        <v>73</v>
      </c>
      <c r="C65" s="70" t="s">
        <v>269</v>
      </c>
      <c r="D65" s="114"/>
      <c r="E65" s="115" t="s">
        <v>78</v>
      </c>
      <c r="F65" s="70"/>
      <c r="G65" s="70"/>
      <c r="H65" s="116" t="s">
        <v>79</v>
      </c>
      <c r="I65" s="70"/>
      <c r="J65" s="70"/>
      <c r="K65" s="117"/>
      <c r="L65" s="31"/>
      <c r="M65" s="31"/>
      <c r="N65" s="12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</row>
    <row r="66" spans="1:212" s="32" customFormat="1" ht="15" customHeight="1" x14ac:dyDescent="0.25">
      <c r="A66" s="123">
        <v>14501061</v>
      </c>
      <c r="B66" s="70" t="s">
        <v>74</v>
      </c>
      <c r="C66" s="70" t="s">
        <v>269</v>
      </c>
      <c r="D66" s="114"/>
      <c r="E66" s="115" t="s">
        <v>77</v>
      </c>
      <c r="F66" s="70"/>
      <c r="G66" s="70"/>
      <c r="H66" s="116" t="s">
        <v>79</v>
      </c>
      <c r="I66" s="70"/>
      <c r="J66" s="70"/>
      <c r="K66" s="117"/>
      <c r="L66" s="31"/>
      <c r="M66" s="31"/>
      <c r="N66" s="12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</row>
    <row r="67" spans="1:212" ht="15" customHeight="1" x14ac:dyDescent="0.25">
      <c r="A67" s="123">
        <v>14501062</v>
      </c>
      <c r="B67" s="70" t="s">
        <v>75</v>
      </c>
      <c r="C67" s="70" t="s">
        <v>269</v>
      </c>
      <c r="D67" s="114"/>
      <c r="E67" s="115" t="s">
        <v>78</v>
      </c>
      <c r="F67" s="70"/>
      <c r="G67" s="70"/>
      <c r="H67" s="116" t="s">
        <v>79</v>
      </c>
      <c r="I67" s="70"/>
      <c r="J67" s="70"/>
      <c r="K67" s="117"/>
      <c r="L67" s="31"/>
      <c r="M67" s="31"/>
      <c r="N67" s="12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</row>
    <row r="68" spans="1:212" s="32" customFormat="1" ht="15" customHeight="1" x14ac:dyDescent="0.25">
      <c r="A68" s="123">
        <v>14501063</v>
      </c>
      <c r="B68" s="70" t="s">
        <v>76</v>
      </c>
      <c r="C68" s="70" t="s">
        <v>269</v>
      </c>
      <c r="D68" s="114"/>
      <c r="E68" s="115" t="s">
        <v>78</v>
      </c>
      <c r="F68" s="70"/>
      <c r="G68" s="70"/>
      <c r="H68" s="116" t="s">
        <v>79</v>
      </c>
      <c r="I68" s="70"/>
      <c r="J68" s="70"/>
      <c r="K68" s="117"/>
      <c r="L68" s="31"/>
      <c r="M68" s="31"/>
      <c r="N68" s="12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</row>
    <row r="69" spans="1:212" x14ac:dyDescent="0.25">
      <c r="A69" s="123">
        <v>14501064</v>
      </c>
      <c r="B69" s="70" t="s">
        <v>127</v>
      </c>
      <c r="C69" s="70" t="s">
        <v>269</v>
      </c>
      <c r="D69" s="114"/>
      <c r="E69" s="115" t="s">
        <v>77</v>
      </c>
      <c r="F69" s="70"/>
      <c r="G69" s="70"/>
      <c r="H69" s="116" t="s">
        <v>79</v>
      </c>
      <c r="I69" s="70"/>
      <c r="J69" s="70"/>
      <c r="K69" s="117"/>
      <c r="L69" s="31"/>
      <c r="M69" s="31"/>
      <c r="N69" s="12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</row>
    <row r="70" spans="1:212" x14ac:dyDescent="0.25">
      <c r="A70" s="123">
        <v>14501065</v>
      </c>
      <c r="B70" s="70" t="s">
        <v>128</v>
      </c>
      <c r="C70" s="70" t="s">
        <v>269</v>
      </c>
      <c r="D70" s="114"/>
      <c r="E70" s="115" t="s">
        <v>78</v>
      </c>
      <c r="F70" s="70"/>
      <c r="G70" s="70"/>
      <c r="H70" s="116" t="s">
        <v>79</v>
      </c>
      <c r="I70" s="70"/>
      <c r="J70" s="70"/>
      <c r="K70" s="117"/>
      <c r="L70" s="12"/>
      <c r="M70" s="12"/>
      <c r="N70" s="12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</row>
    <row r="71" spans="1:212" x14ac:dyDescent="0.25">
      <c r="A71" s="123">
        <v>14501066</v>
      </c>
      <c r="B71" s="70" t="s">
        <v>129</v>
      </c>
      <c r="C71" s="70" t="s">
        <v>269</v>
      </c>
      <c r="D71" s="114"/>
      <c r="E71" s="115" t="s">
        <v>77</v>
      </c>
      <c r="F71" s="70"/>
      <c r="G71" s="70"/>
      <c r="H71" s="116" t="s">
        <v>79</v>
      </c>
      <c r="I71" s="70"/>
      <c r="J71" s="70"/>
      <c r="K71" s="117"/>
      <c r="L71" s="12"/>
      <c r="M71" s="12"/>
      <c r="N71" s="12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</row>
    <row r="72" spans="1:212" x14ac:dyDescent="0.25">
      <c r="A72" s="124">
        <v>14501067</v>
      </c>
      <c r="B72" s="72" t="s">
        <v>130</v>
      </c>
      <c r="C72" s="72" t="s">
        <v>269</v>
      </c>
      <c r="D72" s="119"/>
      <c r="E72" s="120" t="s">
        <v>78</v>
      </c>
      <c r="F72" s="72"/>
      <c r="G72" s="72"/>
      <c r="H72" s="135" t="s">
        <v>79</v>
      </c>
      <c r="I72" s="72"/>
      <c r="J72" s="72"/>
      <c r="K72" s="121"/>
      <c r="L72" s="12"/>
      <c r="M72" s="12"/>
      <c r="N72" s="12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</row>
    <row r="73" spans="1:212" x14ac:dyDescent="0.25">
      <c r="A73" s="123">
        <v>14501068</v>
      </c>
      <c r="B73" s="70" t="s">
        <v>131</v>
      </c>
      <c r="C73" s="70" t="s">
        <v>269</v>
      </c>
      <c r="D73" s="114"/>
      <c r="E73" s="115" t="s">
        <v>77</v>
      </c>
      <c r="F73" s="70"/>
      <c r="G73" s="70"/>
      <c r="H73" s="116" t="s">
        <v>157</v>
      </c>
      <c r="I73" s="70"/>
      <c r="J73" s="70"/>
      <c r="K73" s="117"/>
      <c r="L73" s="12"/>
      <c r="M73" s="12"/>
      <c r="N73" s="12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</row>
    <row r="74" spans="1:212" x14ac:dyDescent="0.25">
      <c r="A74" s="123">
        <v>14501069</v>
      </c>
      <c r="B74" s="70" t="s">
        <v>132</v>
      </c>
      <c r="C74" s="70" t="s">
        <v>269</v>
      </c>
      <c r="D74" s="70"/>
      <c r="E74" s="115" t="s">
        <v>78</v>
      </c>
      <c r="F74" s="70"/>
      <c r="G74" s="70"/>
      <c r="H74" s="118" t="s">
        <v>157</v>
      </c>
      <c r="I74" s="70"/>
      <c r="J74" s="70"/>
      <c r="K74" s="117"/>
      <c r="L74" s="31"/>
      <c r="M74" s="31"/>
      <c r="N74" s="12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</row>
    <row r="75" spans="1:212" x14ac:dyDescent="0.25">
      <c r="A75" s="123">
        <v>14501070</v>
      </c>
      <c r="B75" s="70" t="s">
        <v>133</v>
      </c>
      <c r="C75" s="70" t="s">
        <v>269</v>
      </c>
      <c r="D75" s="70"/>
      <c r="E75" s="115" t="s">
        <v>77</v>
      </c>
      <c r="F75" s="70"/>
      <c r="G75" s="70"/>
      <c r="H75" s="118" t="s">
        <v>157</v>
      </c>
      <c r="I75" s="70"/>
      <c r="J75" s="70"/>
      <c r="K75" s="117"/>
      <c r="L75" s="31"/>
      <c r="M75" s="31"/>
      <c r="N75" s="12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</row>
    <row r="76" spans="1:212" x14ac:dyDescent="0.25">
      <c r="A76" s="123">
        <v>14501071</v>
      </c>
      <c r="B76" s="70" t="s">
        <v>134</v>
      </c>
      <c r="C76" s="70" t="s">
        <v>314</v>
      </c>
      <c r="D76" s="70"/>
      <c r="E76" s="115" t="s">
        <v>78</v>
      </c>
      <c r="F76" s="70"/>
      <c r="G76" s="70"/>
      <c r="H76" s="118" t="s">
        <v>157</v>
      </c>
      <c r="I76" s="70"/>
      <c r="J76" s="70"/>
      <c r="K76" s="117"/>
      <c r="L76" s="31"/>
      <c r="M76" s="31"/>
      <c r="N76" s="12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</row>
    <row r="77" spans="1:212" x14ac:dyDescent="0.25">
      <c r="A77" s="123">
        <v>14501072</v>
      </c>
      <c r="B77" s="70" t="s">
        <v>135</v>
      </c>
      <c r="C77" s="70" t="s">
        <v>269</v>
      </c>
      <c r="D77" s="70"/>
      <c r="E77" s="115" t="s">
        <v>78</v>
      </c>
      <c r="F77" s="70"/>
      <c r="G77" s="70"/>
      <c r="H77" s="118" t="s">
        <v>157</v>
      </c>
      <c r="I77" s="70"/>
      <c r="J77" s="70"/>
      <c r="K77" s="117"/>
      <c r="L77" s="31"/>
      <c r="M77" s="31"/>
      <c r="N77" s="12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</row>
    <row r="78" spans="1:212" s="32" customFormat="1" x14ac:dyDescent="0.25">
      <c r="A78" s="123">
        <v>14501073</v>
      </c>
      <c r="B78" s="70" t="s">
        <v>136</v>
      </c>
      <c r="C78" s="70" t="s">
        <v>269</v>
      </c>
      <c r="D78" s="70"/>
      <c r="E78" s="115" t="s">
        <v>78</v>
      </c>
      <c r="F78" s="70"/>
      <c r="G78" s="70"/>
      <c r="H78" s="118" t="s">
        <v>157</v>
      </c>
      <c r="I78" s="70"/>
      <c r="J78" s="70"/>
      <c r="K78" s="117"/>
      <c r="L78" s="31"/>
      <c r="M78" s="31"/>
      <c r="N78" s="12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</row>
    <row r="79" spans="1:212" x14ac:dyDescent="0.25">
      <c r="A79" s="123">
        <v>14501074</v>
      </c>
      <c r="B79" s="70" t="s">
        <v>137</v>
      </c>
      <c r="C79" s="70" t="s">
        <v>269</v>
      </c>
      <c r="D79" s="70"/>
      <c r="E79" s="115" t="s">
        <v>77</v>
      </c>
      <c r="F79" s="70"/>
      <c r="G79" s="70"/>
      <c r="H79" s="118" t="s">
        <v>157</v>
      </c>
      <c r="I79" s="70"/>
      <c r="J79" s="70"/>
      <c r="K79" s="117"/>
      <c r="L79" s="31"/>
      <c r="M79" s="31"/>
      <c r="N79" s="12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</row>
    <row r="80" spans="1:212" s="32" customFormat="1" x14ac:dyDescent="0.25">
      <c r="A80" s="123">
        <v>14501075</v>
      </c>
      <c r="B80" s="70" t="s">
        <v>138</v>
      </c>
      <c r="C80" s="70" t="s">
        <v>269</v>
      </c>
      <c r="D80" s="70"/>
      <c r="E80" s="115" t="s">
        <v>78</v>
      </c>
      <c r="F80" s="70"/>
      <c r="G80" s="70"/>
      <c r="H80" s="118" t="s">
        <v>157</v>
      </c>
      <c r="I80" s="70"/>
      <c r="J80" s="70"/>
      <c r="K80" s="117"/>
      <c r="L80" s="31"/>
      <c r="M80" s="31"/>
      <c r="N80" s="12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</row>
    <row r="81" spans="1:212" x14ac:dyDescent="0.25">
      <c r="A81" s="123">
        <v>14501076</v>
      </c>
      <c r="B81" s="70" t="s">
        <v>139</v>
      </c>
      <c r="C81" s="70" t="s">
        <v>269</v>
      </c>
      <c r="D81" s="70"/>
      <c r="E81" s="115" t="s">
        <v>78</v>
      </c>
      <c r="F81" s="70"/>
      <c r="G81" s="70"/>
      <c r="H81" s="118" t="s">
        <v>157</v>
      </c>
      <c r="I81" s="70"/>
      <c r="J81" s="70"/>
      <c r="K81" s="117"/>
      <c r="L81" s="31"/>
      <c r="M81" s="31"/>
      <c r="N81" s="12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</row>
    <row r="82" spans="1:212" s="32" customFormat="1" x14ac:dyDescent="0.25">
      <c r="A82" s="123">
        <v>14501077</v>
      </c>
      <c r="B82" s="70" t="s">
        <v>140</v>
      </c>
      <c r="C82" s="70" t="s">
        <v>269</v>
      </c>
      <c r="D82" s="114"/>
      <c r="E82" s="115" t="s">
        <v>77</v>
      </c>
      <c r="F82" s="70"/>
      <c r="G82" s="70"/>
      <c r="H82" s="116" t="s">
        <v>157</v>
      </c>
      <c r="I82" s="70"/>
      <c r="J82" s="70"/>
      <c r="K82" s="117"/>
      <c r="L82" s="31"/>
      <c r="M82" s="31"/>
      <c r="N82" s="12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</row>
    <row r="83" spans="1:212" x14ac:dyDescent="0.25">
      <c r="A83" s="123">
        <v>14501078</v>
      </c>
      <c r="B83" s="70" t="s">
        <v>141</v>
      </c>
      <c r="C83" s="70" t="s">
        <v>296</v>
      </c>
      <c r="D83" s="114"/>
      <c r="E83" s="115" t="s">
        <v>77</v>
      </c>
      <c r="F83" s="70"/>
      <c r="G83" s="70"/>
      <c r="H83" s="116" t="s">
        <v>157</v>
      </c>
      <c r="I83" s="70"/>
      <c r="J83" s="70"/>
      <c r="K83" s="117"/>
      <c r="L83" s="31"/>
      <c r="M83" s="31"/>
      <c r="N83" s="12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</row>
    <row r="84" spans="1:212" s="32" customFormat="1" x14ac:dyDescent="0.25">
      <c r="A84" s="123">
        <v>14501079</v>
      </c>
      <c r="B84" s="70" t="s">
        <v>142</v>
      </c>
      <c r="C84" s="70" t="s">
        <v>269</v>
      </c>
      <c r="D84" s="114"/>
      <c r="E84" s="115" t="s">
        <v>78</v>
      </c>
      <c r="F84" s="70"/>
      <c r="G84" s="70"/>
      <c r="H84" s="116" t="s">
        <v>157</v>
      </c>
      <c r="I84" s="70"/>
      <c r="J84" s="70"/>
      <c r="K84" s="117"/>
      <c r="L84" s="31"/>
      <c r="M84" s="31"/>
      <c r="N84" s="12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</row>
    <row r="85" spans="1:212" x14ac:dyDescent="0.25">
      <c r="A85" s="123">
        <v>14501080</v>
      </c>
      <c r="B85" s="70" t="s">
        <v>143</v>
      </c>
      <c r="C85" s="70" t="s">
        <v>269</v>
      </c>
      <c r="D85" s="114"/>
      <c r="E85" s="115" t="s">
        <v>77</v>
      </c>
      <c r="F85" s="70"/>
      <c r="G85" s="70"/>
      <c r="H85" s="116" t="s">
        <v>157</v>
      </c>
      <c r="I85" s="70"/>
      <c r="J85" s="70"/>
      <c r="K85" s="117"/>
      <c r="L85" s="31"/>
      <c r="M85" s="31"/>
      <c r="N85" s="12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</row>
    <row r="86" spans="1:212" s="32" customFormat="1" x14ac:dyDescent="0.25">
      <c r="A86" s="123">
        <v>14501081</v>
      </c>
      <c r="B86" s="70" t="s">
        <v>144</v>
      </c>
      <c r="C86" s="70" t="s">
        <v>269</v>
      </c>
      <c r="D86" s="114"/>
      <c r="E86" s="115" t="s">
        <v>77</v>
      </c>
      <c r="F86" s="70"/>
      <c r="G86" s="70"/>
      <c r="H86" s="116" t="s">
        <v>157</v>
      </c>
      <c r="I86" s="70"/>
      <c r="J86" s="70"/>
      <c r="K86" s="117"/>
      <c r="L86" s="31"/>
      <c r="M86" s="31"/>
      <c r="N86" s="12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</row>
    <row r="87" spans="1:212" x14ac:dyDescent="0.25">
      <c r="A87" s="123">
        <v>14501082</v>
      </c>
      <c r="B87" s="70" t="s">
        <v>145</v>
      </c>
      <c r="C87" s="70" t="s">
        <v>269</v>
      </c>
      <c r="D87" s="114"/>
      <c r="E87" s="115" t="s">
        <v>78</v>
      </c>
      <c r="F87" s="70"/>
      <c r="G87" s="70"/>
      <c r="H87" s="116" t="s">
        <v>157</v>
      </c>
      <c r="I87" s="70"/>
      <c r="J87" s="70"/>
      <c r="K87" s="117"/>
      <c r="L87" s="31"/>
      <c r="M87" s="31"/>
      <c r="N87" s="12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</row>
    <row r="88" spans="1:212" s="32" customFormat="1" x14ac:dyDescent="0.25">
      <c r="A88" s="123">
        <v>14501083</v>
      </c>
      <c r="B88" s="70" t="s">
        <v>146</v>
      </c>
      <c r="C88" s="70" t="s">
        <v>269</v>
      </c>
      <c r="D88" s="114"/>
      <c r="E88" s="115" t="s">
        <v>78</v>
      </c>
      <c r="F88" s="70"/>
      <c r="G88" s="70"/>
      <c r="H88" s="116" t="s">
        <v>157</v>
      </c>
      <c r="I88" s="70"/>
      <c r="J88" s="70"/>
      <c r="K88" s="117"/>
      <c r="L88" s="31"/>
      <c r="M88" s="31"/>
      <c r="N88" s="12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</row>
    <row r="89" spans="1:212" x14ac:dyDescent="0.25">
      <c r="A89" s="123">
        <v>14501084</v>
      </c>
      <c r="B89" s="70" t="s">
        <v>147</v>
      </c>
      <c r="C89" s="70" t="s">
        <v>269</v>
      </c>
      <c r="D89" s="114"/>
      <c r="E89" s="115" t="s">
        <v>77</v>
      </c>
      <c r="F89" s="70"/>
      <c r="G89" s="70"/>
      <c r="H89" s="116" t="s">
        <v>157</v>
      </c>
      <c r="I89" s="70"/>
      <c r="J89" s="70"/>
      <c r="K89" s="117"/>
      <c r="L89" s="31"/>
      <c r="M89" s="31"/>
      <c r="N89" s="12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</row>
    <row r="90" spans="1:212" s="32" customFormat="1" x14ac:dyDescent="0.25">
      <c r="A90" s="123">
        <v>14501085</v>
      </c>
      <c r="B90" s="70" t="s">
        <v>148</v>
      </c>
      <c r="C90" s="70" t="s">
        <v>269</v>
      </c>
      <c r="D90" s="114"/>
      <c r="E90" s="115" t="s">
        <v>77</v>
      </c>
      <c r="F90" s="70"/>
      <c r="G90" s="70"/>
      <c r="H90" s="116" t="s">
        <v>157</v>
      </c>
      <c r="I90" s="70"/>
      <c r="J90" s="70"/>
      <c r="K90" s="117"/>
      <c r="L90" s="31"/>
      <c r="M90" s="31"/>
      <c r="N90" s="12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</row>
    <row r="91" spans="1:212" x14ac:dyDescent="0.25">
      <c r="A91" s="123">
        <v>14501086</v>
      </c>
      <c r="B91" s="70" t="s">
        <v>149</v>
      </c>
      <c r="C91" s="70" t="s">
        <v>269</v>
      </c>
      <c r="D91" s="114"/>
      <c r="E91" s="115" t="s">
        <v>78</v>
      </c>
      <c r="F91" s="70"/>
      <c r="G91" s="70"/>
      <c r="H91" s="116" t="s">
        <v>157</v>
      </c>
      <c r="I91" s="70"/>
      <c r="J91" s="70"/>
      <c r="K91" s="117"/>
      <c r="L91" s="31"/>
      <c r="M91" s="31"/>
      <c r="N91" s="12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</row>
    <row r="92" spans="1:212" s="32" customFormat="1" x14ac:dyDescent="0.25">
      <c r="A92" s="123">
        <v>14501087</v>
      </c>
      <c r="B92" s="70" t="s">
        <v>150</v>
      </c>
      <c r="C92" s="70" t="s">
        <v>269</v>
      </c>
      <c r="D92" s="114"/>
      <c r="E92" s="115" t="s">
        <v>77</v>
      </c>
      <c r="F92" s="70"/>
      <c r="G92" s="70"/>
      <c r="H92" s="116" t="s">
        <v>157</v>
      </c>
      <c r="I92" s="70"/>
      <c r="J92" s="70"/>
      <c r="K92" s="117"/>
      <c r="L92" s="31"/>
      <c r="M92" s="31"/>
      <c r="N92" s="12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</row>
    <row r="93" spans="1:212" x14ac:dyDescent="0.25">
      <c r="A93" s="123">
        <v>14501088</v>
      </c>
      <c r="B93" s="70" t="s">
        <v>151</v>
      </c>
      <c r="C93" s="70" t="s">
        <v>269</v>
      </c>
      <c r="D93" s="114"/>
      <c r="E93" s="115" t="s">
        <v>77</v>
      </c>
      <c r="F93" s="70"/>
      <c r="G93" s="70"/>
      <c r="H93" s="116" t="s">
        <v>157</v>
      </c>
      <c r="I93" s="70"/>
      <c r="J93" s="70"/>
      <c r="K93" s="117"/>
      <c r="L93" s="31"/>
      <c r="M93" s="31"/>
      <c r="N93" s="12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</row>
    <row r="94" spans="1:212" s="32" customFormat="1" x14ac:dyDescent="0.25">
      <c r="A94" s="123">
        <v>14501089</v>
      </c>
      <c r="B94" s="70" t="s">
        <v>152</v>
      </c>
      <c r="C94" s="70" t="s">
        <v>269</v>
      </c>
      <c r="D94" s="114"/>
      <c r="E94" s="115" t="s">
        <v>77</v>
      </c>
      <c r="F94" s="70"/>
      <c r="G94" s="70"/>
      <c r="H94" s="116" t="s">
        <v>157</v>
      </c>
      <c r="I94" s="70"/>
      <c r="J94" s="70"/>
      <c r="K94" s="117"/>
      <c r="L94" s="31"/>
      <c r="M94" s="31"/>
      <c r="N94" s="12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</row>
    <row r="95" spans="1:212" x14ac:dyDescent="0.25">
      <c r="A95" s="123">
        <v>14501090</v>
      </c>
      <c r="B95" s="70" t="s">
        <v>153</v>
      </c>
      <c r="C95" s="70" t="s">
        <v>269</v>
      </c>
      <c r="D95" s="114"/>
      <c r="E95" s="115" t="s">
        <v>77</v>
      </c>
      <c r="F95" s="70"/>
      <c r="G95" s="70"/>
      <c r="H95" s="116" t="s">
        <v>157</v>
      </c>
      <c r="I95" s="70"/>
      <c r="J95" s="70"/>
      <c r="K95" s="117"/>
      <c r="L95" s="31"/>
      <c r="M95" s="31"/>
      <c r="N95" s="12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</row>
    <row r="96" spans="1:212" s="32" customFormat="1" x14ac:dyDescent="0.25">
      <c r="A96" s="123">
        <v>14501091</v>
      </c>
      <c r="B96" s="70" t="s">
        <v>154</v>
      </c>
      <c r="C96" s="70" t="s">
        <v>269</v>
      </c>
      <c r="D96" s="114"/>
      <c r="E96" s="115" t="s">
        <v>78</v>
      </c>
      <c r="F96" s="70"/>
      <c r="G96" s="70"/>
      <c r="H96" s="116" t="s">
        <v>157</v>
      </c>
      <c r="I96" s="70"/>
      <c r="J96" s="70"/>
      <c r="K96" s="117"/>
      <c r="L96" s="31"/>
      <c r="M96" s="31"/>
      <c r="N96" s="12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</row>
    <row r="97" spans="1:212" x14ac:dyDescent="0.25">
      <c r="A97" s="123">
        <v>14501092</v>
      </c>
      <c r="B97" s="70" t="s">
        <v>155</v>
      </c>
      <c r="C97" s="70" t="s">
        <v>269</v>
      </c>
      <c r="D97" s="114"/>
      <c r="E97" s="115" t="s">
        <v>78</v>
      </c>
      <c r="F97" s="70"/>
      <c r="G97" s="70"/>
      <c r="H97" s="116" t="s">
        <v>157</v>
      </c>
      <c r="I97" s="70"/>
      <c r="J97" s="70"/>
      <c r="K97" s="117"/>
      <c r="L97" s="31"/>
      <c r="M97" s="31"/>
      <c r="N97" s="12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</row>
    <row r="98" spans="1:212" s="32" customFormat="1" x14ac:dyDescent="0.25">
      <c r="A98" s="123">
        <v>14501093</v>
      </c>
      <c r="B98" s="70" t="s">
        <v>156</v>
      </c>
      <c r="C98" s="70" t="s">
        <v>269</v>
      </c>
      <c r="D98" s="114"/>
      <c r="E98" s="115" t="s">
        <v>77</v>
      </c>
      <c r="F98" s="70"/>
      <c r="G98" s="70"/>
      <c r="H98" s="116" t="s">
        <v>157</v>
      </c>
      <c r="I98" s="70"/>
      <c r="J98" s="70"/>
      <c r="K98" s="117"/>
      <c r="L98" s="31"/>
      <c r="M98" s="31"/>
      <c r="N98" s="12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</row>
    <row r="99" spans="1:212" x14ac:dyDescent="0.25">
      <c r="A99" s="123">
        <v>14501094</v>
      </c>
      <c r="B99" s="70" t="s">
        <v>158</v>
      </c>
      <c r="C99" s="70" t="s">
        <v>269</v>
      </c>
      <c r="D99" s="114"/>
      <c r="E99" s="115" t="s">
        <v>78</v>
      </c>
      <c r="F99" s="70"/>
      <c r="G99" s="70"/>
      <c r="H99" s="116" t="s">
        <v>157</v>
      </c>
      <c r="I99" s="70"/>
      <c r="J99" s="70"/>
      <c r="K99" s="117"/>
      <c r="L99" s="31"/>
      <c r="M99" s="31"/>
      <c r="N99" s="12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</row>
    <row r="100" spans="1:212" s="32" customFormat="1" x14ac:dyDescent="0.25">
      <c r="A100" s="123">
        <v>14501095</v>
      </c>
      <c r="B100" s="70" t="s">
        <v>159</v>
      </c>
      <c r="C100" s="70" t="s">
        <v>269</v>
      </c>
      <c r="D100" s="114"/>
      <c r="E100" s="115" t="s">
        <v>78</v>
      </c>
      <c r="F100" s="70"/>
      <c r="G100" s="70"/>
      <c r="H100" s="116" t="s">
        <v>157</v>
      </c>
      <c r="I100" s="70"/>
      <c r="J100" s="70"/>
      <c r="K100" s="117"/>
      <c r="L100" s="31"/>
      <c r="M100" s="31"/>
      <c r="N100" s="12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</row>
    <row r="101" spans="1:212" x14ac:dyDescent="0.25">
      <c r="A101" s="123">
        <v>14501096</v>
      </c>
      <c r="B101" s="70" t="s">
        <v>160</v>
      </c>
      <c r="C101" s="70" t="s">
        <v>269</v>
      </c>
      <c r="D101" s="114"/>
      <c r="E101" s="115" t="s">
        <v>78</v>
      </c>
      <c r="F101" s="70"/>
      <c r="G101" s="70"/>
      <c r="H101" s="116" t="s">
        <v>157</v>
      </c>
      <c r="I101" s="70"/>
      <c r="J101" s="70"/>
      <c r="K101" s="117"/>
      <c r="L101" s="31"/>
      <c r="M101" s="31"/>
      <c r="N101" s="12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</row>
    <row r="102" spans="1:212" s="32" customFormat="1" x14ac:dyDescent="0.25">
      <c r="A102" s="123">
        <v>14501097</v>
      </c>
      <c r="B102" s="70" t="s">
        <v>161</v>
      </c>
      <c r="C102" s="70" t="s">
        <v>269</v>
      </c>
      <c r="D102" s="114"/>
      <c r="E102" s="115" t="s">
        <v>77</v>
      </c>
      <c r="F102" s="70"/>
      <c r="G102" s="70"/>
      <c r="H102" s="116" t="s">
        <v>157</v>
      </c>
      <c r="I102" s="70"/>
      <c r="J102" s="70"/>
      <c r="K102" s="117"/>
      <c r="L102" s="31"/>
      <c r="M102" s="31"/>
      <c r="N102" s="12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</row>
    <row r="103" spans="1:212" x14ac:dyDescent="0.25">
      <c r="A103" s="123">
        <v>14501098</v>
      </c>
      <c r="B103" s="70" t="s">
        <v>162</v>
      </c>
      <c r="C103" s="70" t="s">
        <v>269</v>
      </c>
      <c r="D103" s="114"/>
      <c r="E103" s="115" t="s">
        <v>78</v>
      </c>
      <c r="F103" s="70"/>
      <c r="G103" s="70"/>
      <c r="H103" s="115" t="s">
        <v>187</v>
      </c>
      <c r="I103" s="70"/>
      <c r="J103" s="70"/>
      <c r="K103" s="117"/>
      <c r="L103" s="31"/>
      <c r="M103" s="31"/>
      <c r="N103" s="12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</row>
    <row r="104" spans="1:212" s="32" customFormat="1" x14ac:dyDescent="0.25">
      <c r="A104" s="123">
        <v>14501099</v>
      </c>
      <c r="B104" s="70" t="s">
        <v>163</v>
      </c>
      <c r="C104" s="70" t="s">
        <v>269</v>
      </c>
      <c r="D104" s="114"/>
      <c r="E104" s="115" t="s">
        <v>77</v>
      </c>
      <c r="F104" s="70"/>
      <c r="G104" s="70"/>
      <c r="H104" s="115" t="s">
        <v>187</v>
      </c>
      <c r="I104" s="70"/>
      <c r="J104" s="70"/>
      <c r="K104" s="117"/>
      <c r="L104" s="31"/>
      <c r="M104" s="31"/>
      <c r="N104" s="12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</row>
    <row r="105" spans="1:212" x14ac:dyDescent="0.25">
      <c r="A105" s="123">
        <v>14501100</v>
      </c>
      <c r="B105" s="70" t="s">
        <v>164</v>
      </c>
      <c r="C105" s="70" t="s">
        <v>269</v>
      </c>
      <c r="D105" s="114"/>
      <c r="E105" s="115" t="s">
        <v>77</v>
      </c>
      <c r="F105" s="70"/>
      <c r="G105" s="70"/>
      <c r="H105" s="115" t="s">
        <v>187</v>
      </c>
      <c r="I105" s="70"/>
      <c r="J105" s="70"/>
      <c r="K105" s="117"/>
      <c r="L105" s="31"/>
      <c r="M105" s="31"/>
      <c r="N105" s="12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</row>
    <row r="106" spans="1:212" s="32" customFormat="1" x14ac:dyDescent="0.25">
      <c r="A106" s="123">
        <v>14501101</v>
      </c>
      <c r="B106" s="70" t="s">
        <v>165</v>
      </c>
      <c r="C106" s="70" t="s">
        <v>269</v>
      </c>
      <c r="D106" s="114"/>
      <c r="E106" s="115" t="s">
        <v>78</v>
      </c>
      <c r="F106" s="70"/>
      <c r="G106" s="70"/>
      <c r="H106" s="115" t="s">
        <v>187</v>
      </c>
      <c r="I106" s="70"/>
      <c r="J106" s="70"/>
      <c r="K106" s="117"/>
      <c r="L106" s="31"/>
      <c r="M106" s="31"/>
      <c r="N106" s="12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</row>
    <row r="107" spans="1:212" x14ac:dyDescent="0.25">
      <c r="A107" s="123">
        <v>14501102</v>
      </c>
      <c r="B107" s="70" t="s">
        <v>166</v>
      </c>
      <c r="C107" s="70" t="s">
        <v>269</v>
      </c>
      <c r="D107" s="114"/>
      <c r="E107" s="115" t="s">
        <v>78</v>
      </c>
      <c r="F107" s="70"/>
      <c r="G107" s="70"/>
      <c r="H107" s="115" t="s">
        <v>187</v>
      </c>
      <c r="I107" s="70"/>
      <c r="J107" s="70"/>
      <c r="K107" s="117"/>
      <c r="L107" s="31"/>
      <c r="M107" s="31"/>
      <c r="N107" s="12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</row>
    <row r="108" spans="1:212" s="32" customFormat="1" x14ac:dyDescent="0.25">
      <c r="A108" s="123">
        <v>14501103</v>
      </c>
      <c r="B108" s="70" t="s">
        <v>167</v>
      </c>
      <c r="C108" s="70" t="s">
        <v>269</v>
      </c>
      <c r="D108" s="114"/>
      <c r="E108" s="115" t="s">
        <v>78</v>
      </c>
      <c r="F108" s="70"/>
      <c r="G108" s="70"/>
      <c r="H108" s="115" t="s">
        <v>187</v>
      </c>
      <c r="I108" s="70"/>
      <c r="J108" s="70"/>
      <c r="K108" s="117"/>
      <c r="L108" s="31"/>
      <c r="M108" s="31"/>
      <c r="N108" s="12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</row>
    <row r="109" spans="1:212" x14ac:dyDescent="0.25">
      <c r="A109" s="123">
        <v>14501104</v>
      </c>
      <c r="B109" s="70" t="s">
        <v>168</v>
      </c>
      <c r="C109" s="70" t="s">
        <v>269</v>
      </c>
      <c r="D109" s="114"/>
      <c r="E109" s="115" t="s">
        <v>78</v>
      </c>
      <c r="F109" s="70"/>
      <c r="G109" s="70"/>
      <c r="H109" s="115" t="s">
        <v>187</v>
      </c>
      <c r="I109" s="70"/>
      <c r="J109" s="70"/>
      <c r="K109" s="117"/>
      <c r="L109" s="31"/>
      <c r="M109" s="31"/>
      <c r="N109" s="12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</row>
    <row r="110" spans="1:212" s="32" customFormat="1" x14ac:dyDescent="0.25">
      <c r="A110" s="123">
        <v>14501105</v>
      </c>
      <c r="B110" s="70" t="s">
        <v>169</v>
      </c>
      <c r="C110" s="70" t="s">
        <v>269</v>
      </c>
      <c r="D110" s="114"/>
      <c r="E110" s="115" t="s">
        <v>77</v>
      </c>
      <c r="F110" s="70"/>
      <c r="G110" s="70"/>
      <c r="H110" s="115" t="s">
        <v>187</v>
      </c>
      <c r="I110" s="70"/>
      <c r="J110" s="70"/>
      <c r="K110" s="117"/>
      <c r="L110" s="31"/>
      <c r="M110" s="31"/>
      <c r="N110" s="12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</row>
    <row r="111" spans="1:212" x14ac:dyDescent="0.25">
      <c r="A111" s="123">
        <v>14501106</v>
      </c>
      <c r="B111" s="70" t="s">
        <v>170</v>
      </c>
      <c r="C111" s="70" t="s">
        <v>269</v>
      </c>
      <c r="D111" s="114"/>
      <c r="E111" s="115" t="s">
        <v>77</v>
      </c>
      <c r="F111" s="70"/>
      <c r="G111" s="70"/>
      <c r="H111" s="115" t="s">
        <v>187</v>
      </c>
      <c r="I111" s="70"/>
      <c r="J111" s="70"/>
      <c r="K111" s="117"/>
      <c r="L111" s="31"/>
      <c r="M111" s="31"/>
      <c r="N111" s="12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</row>
    <row r="112" spans="1:212" s="32" customFormat="1" x14ac:dyDescent="0.25">
      <c r="A112" s="123">
        <v>14501107</v>
      </c>
      <c r="B112" s="70" t="s">
        <v>171</v>
      </c>
      <c r="C112" s="70" t="s">
        <v>269</v>
      </c>
      <c r="D112" s="114"/>
      <c r="E112" s="115" t="s">
        <v>77</v>
      </c>
      <c r="F112" s="70"/>
      <c r="G112" s="70"/>
      <c r="H112" s="115" t="s">
        <v>187</v>
      </c>
      <c r="I112" s="70"/>
      <c r="J112" s="70"/>
      <c r="K112" s="117"/>
      <c r="L112" s="31"/>
      <c r="M112" s="31"/>
      <c r="N112" s="12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</row>
    <row r="113" spans="1:212" x14ac:dyDescent="0.25">
      <c r="A113" s="123">
        <v>14501108</v>
      </c>
      <c r="B113" s="70" t="s">
        <v>172</v>
      </c>
      <c r="C113" s="70" t="s">
        <v>269</v>
      </c>
      <c r="D113" s="114"/>
      <c r="E113" s="115" t="s">
        <v>78</v>
      </c>
      <c r="F113" s="70"/>
      <c r="G113" s="70"/>
      <c r="H113" s="115" t="s">
        <v>187</v>
      </c>
      <c r="I113" s="70"/>
      <c r="J113" s="70"/>
      <c r="K113" s="117"/>
      <c r="L113" s="31"/>
      <c r="M113" s="31"/>
      <c r="N113" s="12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</row>
    <row r="114" spans="1:212" s="32" customFormat="1" x14ac:dyDescent="0.25">
      <c r="A114" s="123">
        <v>14501109</v>
      </c>
      <c r="B114" s="70" t="s">
        <v>173</v>
      </c>
      <c r="C114" s="70" t="s">
        <v>269</v>
      </c>
      <c r="D114" s="114"/>
      <c r="E114" s="115" t="s">
        <v>77</v>
      </c>
      <c r="F114" s="70"/>
      <c r="G114" s="70"/>
      <c r="H114" s="115" t="s">
        <v>187</v>
      </c>
      <c r="I114" s="70"/>
      <c r="J114" s="70"/>
      <c r="K114" s="117"/>
      <c r="L114" s="31"/>
      <c r="M114" s="31"/>
      <c r="N114" s="12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</row>
    <row r="115" spans="1:212" x14ac:dyDescent="0.25">
      <c r="A115" s="123">
        <v>14501110</v>
      </c>
      <c r="B115" s="70" t="s">
        <v>174</v>
      </c>
      <c r="C115" s="70" t="s">
        <v>269</v>
      </c>
      <c r="D115" s="114"/>
      <c r="E115" s="115" t="s">
        <v>78</v>
      </c>
      <c r="F115" s="70"/>
      <c r="G115" s="70"/>
      <c r="H115" s="115" t="s">
        <v>187</v>
      </c>
      <c r="I115" s="70"/>
      <c r="J115" s="70"/>
      <c r="K115" s="117"/>
      <c r="L115" s="31"/>
      <c r="M115" s="31"/>
      <c r="N115" s="12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</row>
    <row r="116" spans="1:212" s="32" customFormat="1" x14ac:dyDescent="0.25">
      <c r="A116" s="123">
        <v>14501111</v>
      </c>
      <c r="B116" s="70" t="s">
        <v>175</v>
      </c>
      <c r="C116" s="70" t="s">
        <v>269</v>
      </c>
      <c r="D116" s="114"/>
      <c r="E116" s="115" t="s">
        <v>77</v>
      </c>
      <c r="F116" s="70"/>
      <c r="G116" s="70"/>
      <c r="H116" s="115" t="s">
        <v>187</v>
      </c>
      <c r="I116" s="70"/>
      <c r="J116" s="70"/>
      <c r="K116" s="117"/>
      <c r="L116" s="31"/>
      <c r="M116" s="31"/>
      <c r="N116" s="12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</row>
    <row r="117" spans="1:212" x14ac:dyDescent="0.25">
      <c r="A117" s="123">
        <v>14501112</v>
      </c>
      <c r="B117" s="70" t="s">
        <v>176</v>
      </c>
      <c r="C117" s="70" t="s">
        <v>269</v>
      </c>
      <c r="D117" s="114"/>
      <c r="E117" s="115" t="s">
        <v>78</v>
      </c>
      <c r="F117" s="70"/>
      <c r="G117" s="70"/>
      <c r="H117" s="115" t="s">
        <v>187</v>
      </c>
      <c r="I117" s="70"/>
      <c r="J117" s="70"/>
      <c r="K117" s="117"/>
      <c r="L117" s="31"/>
      <c r="M117" s="31"/>
      <c r="N117" s="12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</row>
    <row r="118" spans="1:212" s="32" customFormat="1" x14ac:dyDescent="0.25">
      <c r="A118" s="123">
        <v>14501113</v>
      </c>
      <c r="B118" s="70" t="s">
        <v>177</v>
      </c>
      <c r="C118" s="70" t="s">
        <v>269</v>
      </c>
      <c r="D118" s="114"/>
      <c r="E118" s="115" t="s">
        <v>78</v>
      </c>
      <c r="F118" s="70"/>
      <c r="G118" s="70"/>
      <c r="H118" s="115" t="s">
        <v>187</v>
      </c>
      <c r="I118" s="70"/>
      <c r="J118" s="70"/>
      <c r="K118" s="117"/>
      <c r="L118" s="31"/>
      <c r="M118" s="31"/>
      <c r="N118" s="12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</row>
    <row r="119" spans="1:212" x14ac:dyDescent="0.25">
      <c r="A119" s="123">
        <v>14501114</v>
      </c>
      <c r="B119" s="70" t="s">
        <v>178</v>
      </c>
      <c r="C119" s="70" t="s">
        <v>269</v>
      </c>
      <c r="D119" s="114"/>
      <c r="E119" s="115" t="s">
        <v>77</v>
      </c>
      <c r="F119" s="70"/>
      <c r="G119" s="70"/>
      <c r="H119" s="115" t="s">
        <v>187</v>
      </c>
      <c r="I119" s="70"/>
      <c r="J119" s="70"/>
      <c r="K119" s="117"/>
      <c r="L119" s="31"/>
      <c r="M119" s="31"/>
      <c r="N119" s="12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  <c r="CN119" s="31"/>
      <c r="CO119" s="31"/>
      <c r="CP119" s="31"/>
      <c r="CQ119" s="31"/>
      <c r="CR119" s="31"/>
      <c r="CS119" s="31"/>
      <c r="CT119" s="31"/>
      <c r="CU119" s="31"/>
      <c r="CV119" s="31"/>
      <c r="CW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  <c r="DW119" s="31"/>
      <c r="DX119" s="31"/>
      <c r="DY119" s="31"/>
      <c r="DZ119" s="31"/>
      <c r="EA119" s="31"/>
      <c r="EB119" s="31"/>
      <c r="EC119" s="31"/>
      <c r="ED119" s="31"/>
      <c r="EE119" s="31"/>
      <c r="EF119" s="31"/>
      <c r="EG119" s="31"/>
      <c r="EH119" s="31"/>
      <c r="EI119" s="31"/>
      <c r="EJ119" s="31"/>
      <c r="EK119" s="31"/>
      <c r="EL119" s="31"/>
      <c r="EM119" s="31"/>
      <c r="EN119" s="31"/>
      <c r="EO119" s="31"/>
      <c r="EP119" s="31"/>
      <c r="EQ119" s="31"/>
      <c r="ER119" s="31"/>
      <c r="ES119" s="31"/>
      <c r="ET119" s="31"/>
      <c r="EU119" s="31"/>
      <c r="EV119" s="31"/>
      <c r="EW119" s="31"/>
      <c r="EX119" s="31"/>
      <c r="EY119" s="31"/>
      <c r="EZ119" s="31"/>
      <c r="FA119" s="31"/>
      <c r="FB119" s="31"/>
      <c r="FC119" s="31"/>
      <c r="FD119" s="31"/>
      <c r="FE119" s="31"/>
      <c r="FF119" s="31"/>
      <c r="FG119" s="31"/>
      <c r="FH119" s="31"/>
      <c r="FI119" s="31"/>
      <c r="FJ119" s="31"/>
      <c r="FK119" s="31"/>
      <c r="FL119" s="31"/>
      <c r="FM119" s="31"/>
      <c r="FN119" s="31"/>
      <c r="FO119" s="31"/>
      <c r="FP119" s="31"/>
      <c r="FQ119" s="31"/>
      <c r="FR119" s="31"/>
      <c r="FS119" s="31"/>
      <c r="FT119" s="31"/>
      <c r="FU119" s="31"/>
      <c r="FV119" s="31"/>
      <c r="FW119" s="31"/>
      <c r="FX119" s="31"/>
      <c r="FY119" s="31"/>
      <c r="FZ119" s="31"/>
      <c r="GA119" s="31"/>
      <c r="GB119" s="31"/>
      <c r="GC119" s="31"/>
      <c r="GD119" s="31"/>
      <c r="GE119" s="31"/>
      <c r="GF119" s="31"/>
      <c r="GG119" s="31"/>
      <c r="GH119" s="31"/>
      <c r="GI119" s="31"/>
      <c r="GJ119" s="31"/>
      <c r="GK119" s="31"/>
      <c r="GL119" s="31"/>
      <c r="GM119" s="31"/>
      <c r="GN119" s="31"/>
      <c r="GO119" s="31"/>
      <c r="GP119" s="31"/>
      <c r="GQ119" s="31"/>
      <c r="GR119" s="31"/>
      <c r="GS119" s="31"/>
      <c r="GT119" s="31"/>
      <c r="GU119" s="31"/>
      <c r="GV119" s="31"/>
      <c r="GW119" s="31"/>
      <c r="GX119" s="31"/>
      <c r="GY119" s="31"/>
      <c r="GZ119" s="31"/>
      <c r="HA119" s="31"/>
      <c r="HB119" s="31"/>
      <c r="HC119" s="31"/>
      <c r="HD119" s="31"/>
    </row>
    <row r="120" spans="1:212" s="32" customFormat="1" x14ac:dyDescent="0.25">
      <c r="A120" s="124">
        <v>14501115</v>
      </c>
      <c r="B120" s="72" t="s">
        <v>179</v>
      </c>
      <c r="C120" s="72" t="s">
        <v>269</v>
      </c>
      <c r="D120" s="119"/>
      <c r="E120" s="120" t="s">
        <v>77</v>
      </c>
      <c r="F120" s="72"/>
      <c r="G120" s="72"/>
      <c r="H120" s="120" t="s">
        <v>187</v>
      </c>
      <c r="I120" s="72"/>
      <c r="J120" s="72"/>
      <c r="K120" s="121"/>
      <c r="L120" s="31"/>
      <c r="M120" s="31"/>
      <c r="N120" s="12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</row>
    <row r="121" spans="1:212" x14ac:dyDescent="0.25">
      <c r="A121" s="123">
        <v>14501116</v>
      </c>
      <c r="B121" s="70" t="s">
        <v>180</v>
      </c>
      <c r="C121" s="70" t="s">
        <v>269</v>
      </c>
      <c r="D121" s="114"/>
      <c r="E121" s="115" t="s">
        <v>77</v>
      </c>
      <c r="F121" s="70"/>
      <c r="G121" s="70"/>
      <c r="H121" s="115" t="s">
        <v>187</v>
      </c>
      <c r="I121" s="70"/>
      <c r="J121" s="70"/>
      <c r="K121" s="117"/>
      <c r="L121" s="31"/>
      <c r="M121" s="31"/>
      <c r="N121" s="12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</row>
    <row r="122" spans="1:212" s="32" customFormat="1" x14ac:dyDescent="0.25">
      <c r="A122" s="123">
        <v>14501117</v>
      </c>
      <c r="B122" s="70" t="s">
        <v>181</v>
      </c>
      <c r="C122" s="70" t="s">
        <v>269</v>
      </c>
      <c r="D122" s="114"/>
      <c r="E122" s="115" t="s">
        <v>78</v>
      </c>
      <c r="F122" s="70"/>
      <c r="G122" s="70"/>
      <c r="H122" s="115" t="s">
        <v>187</v>
      </c>
      <c r="I122" s="70"/>
      <c r="J122" s="70"/>
      <c r="K122" s="117"/>
      <c r="L122" s="31"/>
      <c r="M122" s="31"/>
      <c r="N122" s="12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</row>
    <row r="123" spans="1:212" x14ac:dyDescent="0.25">
      <c r="A123" s="123">
        <v>14501118</v>
      </c>
      <c r="B123" s="70" t="s">
        <v>182</v>
      </c>
      <c r="C123" s="70" t="s">
        <v>269</v>
      </c>
      <c r="D123" s="114"/>
      <c r="E123" s="115" t="s">
        <v>78</v>
      </c>
      <c r="F123" s="70"/>
      <c r="G123" s="70"/>
      <c r="H123" s="115" t="s">
        <v>187</v>
      </c>
      <c r="I123" s="70"/>
      <c r="J123" s="70"/>
      <c r="K123" s="117"/>
      <c r="L123" s="31"/>
      <c r="M123" s="31"/>
      <c r="N123" s="12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</row>
    <row r="124" spans="1:212" s="32" customFormat="1" x14ac:dyDescent="0.25">
      <c r="A124" s="123">
        <v>14501119</v>
      </c>
      <c r="B124" s="70" t="s">
        <v>183</v>
      </c>
      <c r="C124" s="70" t="s">
        <v>269</v>
      </c>
      <c r="D124" s="114"/>
      <c r="E124" s="115" t="s">
        <v>78</v>
      </c>
      <c r="F124" s="70"/>
      <c r="G124" s="70"/>
      <c r="H124" s="115" t="s">
        <v>187</v>
      </c>
      <c r="I124" s="70"/>
      <c r="J124" s="70"/>
      <c r="K124" s="117"/>
      <c r="L124" s="31"/>
      <c r="M124" s="31"/>
      <c r="N124" s="12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</row>
    <row r="125" spans="1:212" x14ac:dyDescent="0.25">
      <c r="A125" s="123">
        <v>14501120</v>
      </c>
      <c r="B125" s="70" t="s">
        <v>184</v>
      </c>
      <c r="C125" s="70" t="s">
        <v>269</v>
      </c>
      <c r="D125" s="114"/>
      <c r="E125" s="115" t="s">
        <v>77</v>
      </c>
      <c r="F125" s="70"/>
      <c r="G125" s="70"/>
      <c r="H125" s="115" t="s">
        <v>187</v>
      </c>
      <c r="I125" s="70"/>
      <c r="J125" s="70"/>
      <c r="K125" s="117"/>
      <c r="L125" s="31"/>
      <c r="M125" s="31"/>
      <c r="N125" s="12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</row>
    <row r="126" spans="1:212" s="32" customFormat="1" x14ac:dyDescent="0.25">
      <c r="A126" s="123">
        <v>14501121</v>
      </c>
      <c r="B126" s="70" t="s">
        <v>185</v>
      </c>
      <c r="C126" s="70" t="s">
        <v>269</v>
      </c>
      <c r="D126" s="114"/>
      <c r="E126" s="115" t="s">
        <v>77</v>
      </c>
      <c r="F126" s="70"/>
      <c r="G126" s="70"/>
      <c r="H126" s="115" t="s">
        <v>187</v>
      </c>
      <c r="I126" s="70"/>
      <c r="J126" s="70"/>
      <c r="K126" s="117"/>
      <c r="L126" s="31"/>
      <c r="M126" s="31"/>
      <c r="N126" s="12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</row>
    <row r="127" spans="1:212" x14ac:dyDescent="0.25">
      <c r="A127" s="123">
        <v>14501122</v>
      </c>
      <c r="B127" s="70" t="s">
        <v>186</v>
      </c>
      <c r="C127" s="70" t="s">
        <v>269</v>
      </c>
      <c r="D127" s="114"/>
      <c r="E127" s="115" t="s">
        <v>357</v>
      </c>
      <c r="F127" s="70"/>
      <c r="G127" s="70"/>
      <c r="H127" s="115" t="s">
        <v>187</v>
      </c>
      <c r="I127" s="70"/>
      <c r="J127" s="70"/>
      <c r="K127" s="117"/>
      <c r="L127" s="31"/>
      <c r="M127" s="31"/>
      <c r="N127" s="12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</row>
    <row r="128" spans="1:212" s="32" customFormat="1" x14ac:dyDescent="0.25">
      <c r="A128" s="123">
        <v>14501123</v>
      </c>
      <c r="B128" s="70" t="s">
        <v>188</v>
      </c>
      <c r="C128" s="70" t="s">
        <v>269</v>
      </c>
      <c r="D128" s="114"/>
      <c r="E128" s="115" t="s">
        <v>77</v>
      </c>
      <c r="F128" s="70"/>
      <c r="G128" s="70"/>
      <c r="H128" s="115" t="s">
        <v>187</v>
      </c>
      <c r="I128" s="70"/>
      <c r="J128" s="70"/>
      <c r="K128" s="117"/>
      <c r="L128" s="31"/>
      <c r="M128" s="31"/>
      <c r="N128" s="12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</row>
    <row r="129" spans="1:212" x14ac:dyDescent="0.25">
      <c r="A129" s="123">
        <v>14501124</v>
      </c>
      <c r="B129" s="70" t="s">
        <v>189</v>
      </c>
      <c r="C129" s="70" t="s">
        <v>269</v>
      </c>
      <c r="D129" s="114"/>
      <c r="E129" s="115" t="s">
        <v>77</v>
      </c>
      <c r="F129" s="70"/>
      <c r="G129" s="70"/>
      <c r="H129" s="115" t="s">
        <v>187</v>
      </c>
      <c r="I129" s="70"/>
      <c r="J129" s="70"/>
      <c r="K129" s="117"/>
      <c r="L129" s="31"/>
      <c r="M129" s="31"/>
      <c r="N129" s="12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</row>
    <row r="130" spans="1:212" s="32" customFormat="1" x14ac:dyDescent="0.25">
      <c r="A130" s="123">
        <v>14501125</v>
      </c>
      <c r="B130" s="70" t="s">
        <v>190</v>
      </c>
      <c r="C130" s="70" t="s">
        <v>269</v>
      </c>
      <c r="D130" s="114"/>
      <c r="E130" s="115" t="s">
        <v>78</v>
      </c>
      <c r="F130" s="70"/>
      <c r="G130" s="70"/>
      <c r="H130" s="115" t="s">
        <v>187</v>
      </c>
      <c r="I130" s="70"/>
      <c r="J130" s="70"/>
      <c r="K130" s="117"/>
      <c r="L130" s="31"/>
      <c r="M130" s="31"/>
      <c r="N130" s="12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</row>
    <row r="131" spans="1:212" x14ac:dyDescent="0.25">
      <c r="A131" s="124">
        <v>14501126</v>
      </c>
      <c r="B131" s="72" t="s">
        <v>191</v>
      </c>
      <c r="C131" s="72" t="s">
        <v>269</v>
      </c>
      <c r="D131" s="119"/>
      <c r="E131" s="120" t="s">
        <v>77</v>
      </c>
      <c r="F131" s="72"/>
      <c r="G131" s="72"/>
      <c r="H131" s="120" t="s">
        <v>187</v>
      </c>
      <c r="I131" s="72"/>
      <c r="J131" s="72"/>
      <c r="K131" s="121"/>
      <c r="L131" s="31"/>
      <c r="M131" s="31"/>
      <c r="N131" s="12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</row>
    <row r="132" spans="1:212" s="32" customFormat="1" x14ac:dyDescent="0.25">
      <c r="A132" s="123">
        <v>14501127</v>
      </c>
      <c r="B132" s="70" t="s">
        <v>192</v>
      </c>
      <c r="C132" s="70" t="s">
        <v>269</v>
      </c>
      <c r="D132" s="114"/>
      <c r="E132" s="122" t="s">
        <v>77</v>
      </c>
      <c r="F132" s="70"/>
      <c r="G132" s="70"/>
      <c r="H132" s="115" t="s">
        <v>219</v>
      </c>
      <c r="I132" s="70"/>
      <c r="J132" s="70"/>
      <c r="K132" s="117"/>
      <c r="L132" s="31"/>
      <c r="M132" s="31"/>
      <c r="N132" s="12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</row>
    <row r="133" spans="1:212" x14ac:dyDescent="0.25">
      <c r="A133" s="123">
        <v>14501128</v>
      </c>
      <c r="B133" s="70" t="s">
        <v>193</v>
      </c>
      <c r="C133" s="70" t="s">
        <v>269</v>
      </c>
      <c r="D133" s="114"/>
      <c r="E133" s="122" t="s">
        <v>78</v>
      </c>
      <c r="F133" s="70"/>
      <c r="G133" s="70"/>
      <c r="H133" s="115" t="s">
        <v>219</v>
      </c>
      <c r="I133" s="70"/>
      <c r="J133" s="70"/>
      <c r="K133" s="117"/>
      <c r="L133" s="31"/>
      <c r="M133" s="31"/>
      <c r="N133" s="12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</row>
    <row r="134" spans="1:212" s="32" customFormat="1" x14ac:dyDescent="0.25">
      <c r="A134" s="123">
        <v>14501129</v>
      </c>
      <c r="B134" s="70" t="s">
        <v>194</v>
      </c>
      <c r="C134" s="70" t="s">
        <v>269</v>
      </c>
      <c r="D134" s="114"/>
      <c r="E134" s="122" t="s">
        <v>77</v>
      </c>
      <c r="F134" s="70"/>
      <c r="G134" s="70"/>
      <c r="H134" s="115" t="s">
        <v>219</v>
      </c>
      <c r="I134" s="70"/>
      <c r="J134" s="70"/>
      <c r="K134" s="117"/>
      <c r="L134" s="31"/>
      <c r="M134" s="31"/>
      <c r="N134" s="12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</row>
    <row r="135" spans="1:212" x14ac:dyDescent="0.25">
      <c r="A135" s="123">
        <v>14501130</v>
      </c>
      <c r="B135" s="70" t="s">
        <v>195</v>
      </c>
      <c r="C135" s="70" t="s">
        <v>269</v>
      </c>
      <c r="D135" s="114"/>
      <c r="E135" s="122" t="s">
        <v>77</v>
      </c>
      <c r="F135" s="70"/>
      <c r="G135" s="70"/>
      <c r="H135" s="115" t="s">
        <v>219</v>
      </c>
      <c r="I135" s="70"/>
      <c r="J135" s="70"/>
      <c r="K135" s="117"/>
      <c r="L135" s="31"/>
      <c r="M135" s="31"/>
      <c r="N135" s="12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</row>
    <row r="136" spans="1:212" s="32" customFormat="1" x14ac:dyDescent="0.25">
      <c r="A136" s="123">
        <v>14501131</v>
      </c>
      <c r="B136" s="70" t="s">
        <v>196</v>
      </c>
      <c r="C136" s="70" t="s">
        <v>269</v>
      </c>
      <c r="D136" s="114"/>
      <c r="E136" s="122" t="s">
        <v>77</v>
      </c>
      <c r="F136" s="70"/>
      <c r="G136" s="70"/>
      <c r="H136" s="115" t="s">
        <v>219</v>
      </c>
      <c r="I136" s="70"/>
      <c r="J136" s="70"/>
      <c r="K136" s="117"/>
      <c r="L136" s="31"/>
      <c r="M136" s="31"/>
      <c r="N136" s="12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</row>
    <row r="137" spans="1:212" x14ac:dyDescent="0.25">
      <c r="A137" s="123">
        <v>14501132</v>
      </c>
      <c r="B137" s="70" t="s">
        <v>197</v>
      </c>
      <c r="C137" s="70" t="s">
        <v>269</v>
      </c>
      <c r="D137" s="114"/>
      <c r="E137" s="122" t="s">
        <v>77</v>
      </c>
      <c r="F137" s="70"/>
      <c r="G137" s="70"/>
      <c r="H137" s="115" t="s">
        <v>219</v>
      </c>
      <c r="I137" s="70"/>
      <c r="J137" s="70"/>
      <c r="K137" s="117"/>
      <c r="L137" s="31"/>
      <c r="M137" s="31"/>
      <c r="N137" s="12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</row>
    <row r="138" spans="1:212" s="32" customFormat="1" x14ac:dyDescent="0.25">
      <c r="A138" s="123">
        <v>14501133</v>
      </c>
      <c r="B138" s="70" t="s">
        <v>198</v>
      </c>
      <c r="C138" s="70" t="s">
        <v>269</v>
      </c>
      <c r="D138" s="114"/>
      <c r="E138" s="122" t="s">
        <v>78</v>
      </c>
      <c r="F138" s="70"/>
      <c r="G138" s="70"/>
      <c r="H138" s="115" t="s">
        <v>219</v>
      </c>
      <c r="I138" s="70"/>
      <c r="J138" s="70"/>
      <c r="K138" s="117"/>
      <c r="L138" s="31"/>
      <c r="M138" s="31"/>
      <c r="N138" s="12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</row>
    <row r="139" spans="1:212" x14ac:dyDescent="0.25">
      <c r="A139" s="123">
        <v>14501134</v>
      </c>
      <c r="B139" s="70" t="s">
        <v>199</v>
      </c>
      <c r="C139" s="70" t="s">
        <v>269</v>
      </c>
      <c r="D139" s="114"/>
      <c r="E139" s="122" t="s">
        <v>78</v>
      </c>
      <c r="F139" s="70"/>
      <c r="G139" s="70"/>
      <c r="H139" s="115" t="s">
        <v>219</v>
      </c>
      <c r="I139" s="70"/>
      <c r="J139" s="70"/>
      <c r="K139" s="117"/>
      <c r="L139" s="31"/>
      <c r="M139" s="31"/>
      <c r="N139" s="12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</row>
    <row r="140" spans="1:212" s="32" customFormat="1" x14ac:dyDescent="0.25">
      <c r="A140" s="123">
        <v>14501135</v>
      </c>
      <c r="B140" s="70" t="s">
        <v>200</v>
      </c>
      <c r="C140" s="70" t="s">
        <v>269</v>
      </c>
      <c r="D140" s="114"/>
      <c r="E140" s="122" t="s">
        <v>78</v>
      </c>
      <c r="F140" s="70"/>
      <c r="G140" s="70"/>
      <c r="H140" s="115" t="s">
        <v>219</v>
      </c>
      <c r="I140" s="70"/>
      <c r="J140" s="70"/>
      <c r="K140" s="117"/>
      <c r="L140" s="31"/>
      <c r="M140" s="31"/>
      <c r="N140" s="12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</row>
    <row r="141" spans="1:212" x14ac:dyDescent="0.25">
      <c r="A141" s="123">
        <v>14501136</v>
      </c>
      <c r="B141" s="70" t="s">
        <v>201</v>
      </c>
      <c r="C141" s="70" t="s">
        <v>269</v>
      </c>
      <c r="D141" s="114"/>
      <c r="E141" s="122" t="s">
        <v>77</v>
      </c>
      <c r="F141" s="70"/>
      <c r="G141" s="70"/>
      <c r="H141" s="115" t="s">
        <v>219</v>
      </c>
      <c r="I141" s="70"/>
      <c r="J141" s="70"/>
      <c r="K141" s="117"/>
      <c r="L141" s="31"/>
      <c r="M141" s="31"/>
      <c r="N141" s="12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</row>
    <row r="142" spans="1:212" s="32" customFormat="1" x14ac:dyDescent="0.25">
      <c r="A142" s="123">
        <v>14501137</v>
      </c>
      <c r="B142" s="70" t="s">
        <v>202</v>
      </c>
      <c r="C142" s="70" t="s">
        <v>269</v>
      </c>
      <c r="D142" s="114"/>
      <c r="E142" s="122" t="s">
        <v>77</v>
      </c>
      <c r="F142" s="70"/>
      <c r="G142" s="70"/>
      <c r="H142" s="115" t="s">
        <v>219</v>
      </c>
      <c r="I142" s="70"/>
      <c r="J142" s="70"/>
      <c r="K142" s="117"/>
      <c r="L142" s="31"/>
      <c r="M142" s="31"/>
      <c r="N142" s="12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</row>
    <row r="143" spans="1:212" x14ac:dyDescent="0.25">
      <c r="A143" s="123">
        <v>14501138</v>
      </c>
      <c r="B143" s="70" t="s">
        <v>203</v>
      </c>
      <c r="C143" s="70" t="s">
        <v>269</v>
      </c>
      <c r="D143" s="114"/>
      <c r="E143" s="122" t="s">
        <v>78</v>
      </c>
      <c r="F143" s="70"/>
      <c r="G143" s="70"/>
      <c r="H143" s="115" t="s">
        <v>219</v>
      </c>
      <c r="I143" s="70"/>
      <c r="J143" s="70"/>
      <c r="K143" s="117"/>
      <c r="L143" s="31"/>
      <c r="M143" s="31"/>
      <c r="N143" s="12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</row>
    <row r="144" spans="1:212" s="32" customFormat="1" x14ac:dyDescent="0.25">
      <c r="A144" s="123">
        <v>14501139</v>
      </c>
      <c r="B144" s="70" t="s">
        <v>204</v>
      </c>
      <c r="C144" s="70" t="s">
        <v>269</v>
      </c>
      <c r="D144" s="114"/>
      <c r="E144" s="122" t="s">
        <v>77</v>
      </c>
      <c r="F144" s="70"/>
      <c r="G144" s="70"/>
      <c r="H144" s="115" t="s">
        <v>219</v>
      </c>
      <c r="I144" s="70"/>
      <c r="J144" s="70"/>
      <c r="K144" s="117"/>
      <c r="L144" s="31"/>
      <c r="M144" s="31"/>
      <c r="N144" s="12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</row>
    <row r="145" spans="1:212" x14ac:dyDescent="0.25">
      <c r="A145" s="123">
        <v>14501140</v>
      </c>
      <c r="B145" s="70" t="s">
        <v>205</v>
      </c>
      <c r="C145" s="70" t="s">
        <v>269</v>
      </c>
      <c r="D145" s="114"/>
      <c r="E145" s="122" t="s">
        <v>77</v>
      </c>
      <c r="F145" s="70"/>
      <c r="G145" s="70"/>
      <c r="H145" s="115" t="s">
        <v>219</v>
      </c>
      <c r="I145" s="70"/>
      <c r="J145" s="70"/>
      <c r="K145" s="117"/>
      <c r="L145" s="31"/>
      <c r="M145" s="31"/>
      <c r="N145" s="12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  <c r="CJ145" s="31"/>
      <c r="CK145" s="31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  <c r="DC145" s="31"/>
      <c r="DD145" s="31"/>
      <c r="DE145" s="31"/>
      <c r="DF145" s="31"/>
      <c r="DG145" s="31"/>
      <c r="DH145" s="31"/>
      <c r="DI145" s="31"/>
      <c r="DJ145" s="31"/>
      <c r="DK145" s="31"/>
      <c r="DL145" s="31"/>
      <c r="DM145" s="31"/>
      <c r="DN145" s="31"/>
      <c r="DO145" s="31"/>
      <c r="DP145" s="31"/>
      <c r="DQ145" s="31"/>
      <c r="DR145" s="31"/>
      <c r="DS145" s="31"/>
      <c r="DT145" s="31"/>
      <c r="DU145" s="31"/>
      <c r="DV145" s="31"/>
      <c r="DW145" s="31"/>
      <c r="DX145" s="31"/>
      <c r="DY145" s="31"/>
      <c r="DZ145" s="31"/>
      <c r="EA145" s="31"/>
      <c r="EB145" s="31"/>
      <c r="EC145" s="31"/>
      <c r="ED145" s="31"/>
      <c r="EE145" s="31"/>
      <c r="EF145" s="31"/>
      <c r="EG145" s="31"/>
      <c r="EH145" s="31"/>
      <c r="EI145" s="31"/>
      <c r="EJ145" s="31"/>
      <c r="EK145" s="31"/>
      <c r="EL145" s="31"/>
      <c r="EM145" s="31"/>
      <c r="EN145" s="31"/>
      <c r="EO145" s="31"/>
      <c r="EP145" s="31"/>
      <c r="EQ145" s="31"/>
      <c r="ER145" s="31"/>
      <c r="ES145" s="31"/>
      <c r="ET145" s="31"/>
      <c r="EU145" s="31"/>
      <c r="EV145" s="31"/>
      <c r="EW145" s="31"/>
      <c r="EX145" s="31"/>
      <c r="EY145" s="31"/>
      <c r="EZ145" s="31"/>
      <c r="FA145" s="31"/>
      <c r="FB145" s="31"/>
      <c r="FC145" s="31"/>
      <c r="FD145" s="31"/>
      <c r="FE145" s="31"/>
      <c r="FF145" s="31"/>
      <c r="FG145" s="31"/>
      <c r="FH145" s="31"/>
      <c r="FI145" s="31"/>
      <c r="FJ145" s="31"/>
      <c r="FK145" s="31"/>
      <c r="FL145" s="31"/>
      <c r="FM145" s="31"/>
      <c r="FN145" s="31"/>
      <c r="FO145" s="31"/>
      <c r="FP145" s="31"/>
      <c r="FQ145" s="31"/>
      <c r="FR145" s="31"/>
      <c r="FS145" s="31"/>
      <c r="FT145" s="31"/>
      <c r="FU145" s="31"/>
      <c r="FV145" s="31"/>
      <c r="FW145" s="31"/>
      <c r="FX145" s="31"/>
      <c r="FY145" s="31"/>
      <c r="FZ145" s="31"/>
      <c r="GA145" s="31"/>
      <c r="GB145" s="31"/>
      <c r="GC145" s="31"/>
      <c r="GD145" s="31"/>
      <c r="GE145" s="31"/>
      <c r="GF145" s="31"/>
      <c r="GG145" s="31"/>
      <c r="GH145" s="31"/>
      <c r="GI145" s="31"/>
      <c r="GJ145" s="31"/>
      <c r="GK145" s="31"/>
      <c r="GL145" s="31"/>
      <c r="GM145" s="31"/>
      <c r="GN145" s="31"/>
      <c r="GO145" s="31"/>
      <c r="GP145" s="31"/>
      <c r="GQ145" s="31"/>
      <c r="GR145" s="31"/>
      <c r="GS145" s="31"/>
      <c r="GT145" s="31"/>
      <c r="GU145" s="31"/>
      <c r="GV145" s="31"/>
      <c r="GW145" s="31"/>
      <c r="GX145" s="31"/>
      <c r="GY145" s="31"/>
      <c r="GZ145" s="31"/>
      <c r="HA145" s="31"/>
      <c r="HB145" s="31"/>
      <c r="HC145" s="31"/>
      <c r="HD145" s="31"/>
    </row>
    <row r="146" spans="1:212" s="32" customFormat="1" x14ac:dyDescent="0.25">
      <c r="A146" s="123">
        <v>14501141</v>
      </c>
      <c r="B146" s="70" t="s">
        <v>206</v>
      </c>
      <c r="C146" s="70" t="s">
        <v>269</v>
      </c>
      <c r="D146" s="114"/>
      <c r="E146" s="122" t="s">
        <v>77</v>
      </c>
      <c r="F146" s="70"/>
      <c r="G146" s="70"/>
      <c r="H146" s="115" t="s">
        <v>219</v>
      </c>
      <c r="I146" s="70"/>
      <c r="J146" s="70"/>
      <c r="K146" s="117"/>
      <c r="L146" s="31"/>
      <c r="M146" s="31"/>
      <c r="N146" s="12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  <c r="CJ146" s="31"/>
      <c r="CK146" s="31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  <c r="DC146" s="31"/>
      <c r="DD146" s="31"/>
      <c r="DE146" s="31"/>
      <c r="DF146" s="31"/>
      <c r="DG146" s="31"/>
      <c r="DH146" s="31"/>
      <c r="DI146" s="31"/>
      <c r="DJ146" s="31"/>
      <c r="DK146" s="31"/>
      <c r="DL146" s="31"/>
      <c r="DM146" s="31"/>
      <c r="DN146" s="31"/>
      <c r="DO146" s="31"/>
      <c r="DP146" s="31"/>
      <c r="DQ146" s="31"/>
      <c r="DR146" s="31"/>
      <c r="DS146" s="31"/>
      <c r="DT146" s="31"/>
      <c r="DU146" s="31"/>
      <c r="DV146" s="31"/>
      <c r="DW146" s="31"/>
      <c r="DX146" s="31"/>
      <c r="DY146" s="31"/>
      <c r="DZ146" s="31"/>
      <c r="EA146" s="31"/>
      <c r="EB146" s="31"/>
      <c r="EC146" s="31"/>
      <c r="ED146" s="31"/>
      <c r="EE146" s="31"/>
      <c r="EF146" s="31"/>
      <c r="EG146" s="31"/>
      <c r="EH146" s="31"/>
      <c r="EI146" s="31"/>
      <c r="EJ146" s="31"/>
      <c r="EK146" s="31"/>
      <c r="EL146" s="31"/>
      <c r="EM146" s="31"/>
      <c r="EN146" s="31"/>
      <c r="EO146" s="31"/>
      <c r="EP146" s="31"/>
      <c r="EQ146" s="31"/>
      <c r="ER146" s="31"/>
      <c r="ES146" s="31"/>
      <c r="ET146" s="31"/>
      <c r="EU146" s="31"/>
      <c r="EV146" s="31"/>
      <c r="EW146" s="31"/>
      <c r="EX146" s="31"/>
      <c r="EY146" s="31"/>
      <c r="EZ146" s="31"/>
      <c r="FA146" s="31"/>
      <c r="FB146" s="31"/>
      <c r="FC146" s="31"/>
      <c r="FD146" s="31"/>
      <c r="FE146" s="31"/>
      <c r="FF146" s="31"/>
      <c r="FG146" s="31"/>
      <c r="FH146" s="31"/>
      <c r="FI146" s="31"/>
      <c r="FJ146" s="31"/>
      <c r="FK146" s="31"/>
      <c r="FL146" s="31"/>
      <c r="FM146" s="31"/>
      <c r="FN146" s="31"/>
      <c r="FO146" s="31"/>
      <c r="FP146" s="31"/>
      <c r="FQ146" s="31"/>
      <c r="FR146" s="31"/>
      <c r="FS146" s="31"/>
      <c r="FT146" s="31"/>
      <c r="FU146" s="31"/>
      <c r="FV146" s="31"/>
      <c r="FW146" s="31"/>
      <c r="FX146" s="31"/>
      <c r="FY146" s="31"/>
      <c r="FZ146" s="31"/>
      <c r="GA146" s="31"/>
      <c r="GB146" s="31"/>
      <c r="GC146" s="31"/>
      <c r="GD146" s="31"/>
      <c r="GE146" s="31"/>
      <c r="GF146" s="31"/>
      <c r="GG146" s="31"/>
      <c r="GH146" s="31"/>
      <c r="GI146" s="31"/>
      <c r="GJ146" s="31"/>
      <c r="GK146" s="31"/>
      <c r="GL146" s="31"/>
      <c r="GM146" s="31"/>
      <c r="GN146" s="31"/>
      <c r="GO146" s="31"/>
      <c r="GP146" s="31"/>
      <c r="GQ146" s="31"/>
      <c r="GR146" s="31"/>
      <c r="GS146" s="31"/>
      <c r="GT146" s="31"/>
      <c r="GU146" s="31"/>
      <c r="GV146" s="31"/>
      <c r="GW146" s="31"/>
      <c r="GX146" s="31"/>
      <c r="GY146" s="31"/>
      <c r="GZ146" s="31"/>
      <c r="HA146" s="31"/>
      <c r="HB146" s="31"/>
      <c r="HC146" s="31"/>
      <c r="HD146" s="31"/>
    </row>
    <row r="147" spans="1:212" x14ac:dyDescent="0.25">
      <c r="A147" s="123">
        <v>14501142</v>
      </c>
      <c r="B147" s="70" t="s">
        <v>207</v>
      </c>
      <c r="C147" s="70" t="s">
        <v>269</v>
      </c>
      <c r="D147" s="114"/>
      <c r="E147" s="122" t="s">
        <v>77</v>
      </c>
      <c r="F147" s="70"/>
      <c r="G147" s="70"/>
      <c r="H147" s="115" t="s">
        <v>219</v>
      </c>
      <c r="I147" s="70"/>
      <c r="J147" s="70"/>
      <c r="K147" s="117"/>
      <c r="L147" s="31"/>
      <c r="M147" s="31"/>
      <c r="N147" s="12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  <c r="CJ147" s="31"/>
      <c r="CK147" s="31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  <c r="DC147" s="31"/>
      <c r="DD147" s="31"/>
      <c r="DE147" s="31"/>
      <c r="DF147" s="31"/>
      <c r="DG147" s="31"/>
      <c r="DH147" s="31"/>
      <c r="DI147" s="31"/>
      <c r="DJ147" s="31"/>
      <c r="DK147" s="31"/>
      <c r="DL147" s="31"/>
      <c r="DM147" s="31"/>
      <c r="DN147" s="31"/>
      <c r="DO147" s="31"/>
      <c r="DP147" s="31"/>
      <c r="DQ147" s="31"/>
      <c r="DR147" s="31"/>
      <c r="DS147" s="31"/>
      <c r="DT147" s="31"/>
      <c r="DU147" s="31"/>
      <c r="DV147" s="31"/>
      <c r="DW147" s="31"/>
      <c r="DX147" s="31"/>
      <c r="DY147" s="31"/>
      <c r="DZ147" s="31"/>
      <c r="EA147" s="31"/>
      <c r="EB147" s="31"/>
      <c r="EC147" s="31"/>
      <c r="ED147" s="31"/>
      <c r="EE147" s="31"/>
      <c r="EF147" s="31"/>
      <c r="EG147" s="31"/>
      <c r="EH147" s="31"/>
      <c r="EI147" s="31"/>
      <c r="EJ147" s="31"/>
      <c r="EK147" s="31"/>
      <c r="EL147" s="31"/>
      <c r="EM147" s="31"/>
      <c r="EN147" s="31"/>
      <c r="EO147" s="31"/>
      <c r="EP147" s="31"/>
      <c r="EQ147" s="31"/>
      <c r="ER147" s="31"/>
      <c r="ES147" s="31"/>
      <c r="ET147" s="31"/>
      <c r="EU147" s="31"/>
      <c r="EV147" s="31"/>
      <c r="EW147" s="31"/>
      <c r="EX147" s="31"/>
      <c r="EY147" s="31"/>
      <c r="EZ147" s="31"/>
      <c r="FA147" s="31"/>
      <c r="FB147" s="31"/>
      <c r="FC147" s="31"/>
      <c r="FD147" s="31"/>
      <c r="FE147" s="31"/>
      <c r="FF147" s="31"/>
      <c r="FG147" s="31"/>
      <c r="FH147" s="31"/>
      <c r="FI147" s="31"/>
      <c r="FJ147" s="31"/>
      <c r="FK147" s="31"/>
      <c r="FL147" s="31"/>
      <c r="FM147" s="31"/>
      <c r="FN147" s="31"/>
      <c r="FO147" s="31"/>
      <c r="FP147" s="31"/>
      <c r="FQ147" s="31"/>
      <c r="FR147" s="31"/>
      <c r="FS147" s="31"/>
      <c r="FT147" s="31"/>
      <c r="FU147" s="31"/>
      <c r="FV147" s="31"/>
      <c r="FW147" s="31"/>
      <c r="FX147" s="31"/>
      <c r="FY147" s="31"/>
      <c r="FZ147" s="31"/>
      <c r="GA147" s="31"/>
      <c r="GB147" s="31"/>
      <c r="GC147" s="31"/>
      <c r="GD147" s="31"/>
      <c r="GE147" s="31"/>
      <c r="GF147" s="31"/>
      <c r="GG147" s="31"/>
      <c r="GH147" s="31"/>
      <c r="GI147" s="31"/>
      <c r="GJ147" s="31"/>
      <c r="GK147" s="31"/>
      <c r="GL147" s="31"/>
      <c r="GM147" s="31"/>
      <c r="GN147" s="31"/>
      <c r="GO147" s="31"/>
      <c r="GP147" s="31"/>
      <c r="GQ147" s="31"/>
      <c r="GR147" s="31"/>
      <c r="GS147" s="31"/>
      <c r="GT147" s="31"/>
      <c r="GU147" s="31"/>
      <c r="GV147" s="31"/>
      <c r="GW147" s="31"/>
      <c r="GX147" s="31"/>
      <c r="GY147" s="31"/>
      <c r="GZ147" s="31"/>
      <c r="HA147" s="31"/>
      <c r="HB147" s="31"/>
      <c r="HC147" s="31"/>
      <c r="HD147" s="31"/>
    </row>
    <row r="148" spans="1:212" s="32" customFormat="1" x14ac:dyDescent="0.25">
      <c r="A148" s="123">
        <v>14501143</v>
      </c>
      <c r="B148" s="70" t="s">
        <v>208</v>
      </c>
      <c r="C148" s="70" t="s">
        <v>269</v>
      </c>
      <c r="D148" s="114"/>
      <c r="E148" s="122" t="s">
        <v>77</v>
      </c>
      <c r="F148" s="70"/>
      <c r="G148" s="70"/>
      <c r="H148" s="115" t="s">
        <v>219</v>
      </c>
      <c r="I148" s="70"/>
      <c r="J148" s="70"/>
      <c r="K148" s="117"/>
      <c r="L148" s="31"/>
      <c r="M148" s="31"/>
      <c r="N148" s="12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  <c r="DC148" s="31"/>
      <c r="DD148" s="31"/>
      <c r="DE148" s="31"/>
      <c r="DF148" s="31"/>
      <c r="DG148" s="31"/>
      <c r="DH148" s="31"/>
      <c r="DI148" s="31"/>
      <c r="DJ148" s="31"/>
      <c r="DK148" s="31"/>
      <c r="DL148" s="31"/>
      <c r="DM148" s="31"/>
      <c r="DN148" s="31"/>
      <c r="DO148" s="31"/>
      <c r="DP148" s="31"/>
      <c r="DQ148" s="31"/>
      <c r="DR148" s="31"/>
      <c r="DS148" s="31"/>
      <c r="DT148" s="31"/>
      <c r="DU148" s="31"/>
      <c r="DV148" s="31"/>
      <c r="DW148" s="31"/>
      <c r="DX148" s="31"/>
      <c r="DY148" s="31"/>
      <c r="DZ148" s="31"/>
      <c r="EA148" s="31"/>
      <c r="EB148" s="31"/>
      <c r="EC148" s="31"/>
      <c r="ED148" s="31"/>
      <c r="EE148" s="31"/>
      <c r="EF148" s="31"/>
      <c r="EG148" s="31"/>
      <c r="EH148" s="31"/>
      <c r="EI148" s="31"/>
      <c r="EJ148" s="31"/>
      <c r="EK148" s="31"/>
      <c r="EL148" s="31"/>
      <c r="EM148" s="31"/>
      <c r="EN148" s="31"/>
      <c r="EO148" s="31"/>
      <c r="EP148" s="31"/>
      <c r="EQ148" s="31"/>
      <c r="ER148" s="31"/>
      <c r="ES148" s="31"/>
      <c r="ET148" s="31"/>
      <c r="EU148" s="31"/>
      <c r="EV148" s="31"/>
      <c r="EW148" s="31"/>
      <c r="EX148" s="31"/>
      <c r="EY148" s="31"/>
      <c r="EZ148" s="31"/>
      <c r="FA148" s="31"/>
      <c r="FB148" s="31"/>
      <c r="FC148" s="31"/>
      <c r="FD148" s="31"/>
      <c r="FE148" s="31"/>
      <c r="FF148" s="31"/>
      <c r="FG148" s="31"/>
      <c r="FH148" s="31"/>
      <c r="FI148" s="31"/>
      <c r="FJ148" s="31"/>
      <c r="FK148" s="31"/>
      <c r="FL148" s="31"/>
      <c r="FM148" s="31"/>
      <c r="FN148" s="31"/>
      <c r="FO148" s="31"/>
      <c r="FP148" s="31"/>
      <c r="FQ148" s="31"/>
      <c r="FR148" s="31"/>
      <c r="FS148" s="31"/>
      <c r="FT148" s="31"/>
      <c r="FU148" s="31"/>
      <c r="FV148" s="31"/>
      <c r="FW148" s="31"/>
      <c r="FX148" s="31"/>
      <c r="FY148" s="31"/>
      <c r="FZ148" s="31"/>
      <c r="GA148" s="31"/>
      <c r="GB148" s="31"/>
      <c r="GC148" s="31"/>
      <c r="GD148" s="31"/>
      <c r="GE148" s="31"/>
      <c r="GF148" s="31"/>
      <c r="GG148" s="31"/>
      <c r="GH148" s="31"/>
      <c r="GI148" s="31"/>
      <c r="GJ148" s="31"/>
      <c r="GK148" s="31"/>
      <c r="GL148" s="31"/>
      <c r="GM148" s="31"/>
      <c r="GN148" s="31"/>
      <c r="GO148" s="31"/>
      <c r="GP148" s="31"/>
      <c r="GQ148" s="31"/>
      <c r="GR148" s="31"/>
      <c r="GS148" s="31"/>
      <c r="GT148" s="31"/>
      <c r="GU148" s="31"/>
      <c r="GV148" s="31"/>
      <c r="GW148" s="31"/>
      <c r="GX148" s="31"/>
      <c r="GY148" s="31"/>
      <c r="GZ148" s="31"/>
      <c r="HA148" s="31"/>
      <c r="HB148" s="31"/>
      <c r="HC148" s="31"/>
      <c r="HD148" s="31"/>
    </row>
    <row r="149" spans="1:212" x14ac:dyDescent="0.25">
      <c r="A149" s="123">
        <v>14501144</v>
      </c>
      <c r="B149" s="70" t="s">
        <v>209</v>
      </c>
      <c r="C149" s="70" t="s">
        <v>269</v>
      </c>
      <c r="D149" s="114"/>
      <c r="E149" s="122" t="s">
        <v>78</v>
      </c>
      <c r="F149" s="70"/>
      <c r="G149" s="70"/>
      <c r="H149" s="115" t="s">
        <v>219</v>
      </c>
      <c r="I149" s="70"/>
      <c r="J149" s="70"/>
      <c r="K149" s="117"/>
      <c r="L149" s="31"/>
      <c r="M149" s="31"/>
      <c r="N149" s="12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  <c r="CJ149" s="31"/>
      <c r="CK149" s="31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  <c r="DC149" s="31"/>
      <c r="DD149" s="31"/>
      <c r="DE149" s="31"/>
      <c r="DF149" s="31"/>
      <c r="DG149" s="31"/>
      <c r="DH149" s="31"/>
      <c r="DI149" s="31"/>
      <c r="DJ149" s="31"/>
      <c r="DK149" s="31"/>
      <c r="DL149" s="31"/>
      <c r="DM149" s="31"/>
      <c r="DN149" s="31"/>
      <c r="DO149" s="31"/>
      <c r="DP149" s="31"/>
      <c r="DQ149" s="31"/>
      <c r="DR149" s="31"/>
      <c r="DS149" s="31"/>
      <c r="DT149" s="31"/>
      <c r="DU149" s="31"/>
      <c r="DV149" s="31"/>
      <c r="DW149" s="31"/>
      <c r="DX149" s="31"/>
      <c r="DY149" s="31"/>
      <c r="DZ149" s="31"/>
      <c r="EA149" s="31"/>
      <c r="EB149" s="31"/>
      <c r="EC149" s="31"/>
      <c r="ED149" s="31"/>
      <c r="EE149" s="31"/>
      <c r="EF149" s="31"/>
      <c r="EG149" s="31"/>
      <c r="EH149" s="31"/>
      <c r="EI149" s="31"/>
      <c r="EJ149" s="31"/>
      <c r="EK149" s="31"/>
      <c r="EL149" s="31"/>
      <c r="EM149" s="31"/>
      <c r="EN149" s="31"/>
      <c r="EO149" s="31"/>
      <c r="EP149" s="31"/>
      <c r="EQ149" s="31"/>
      <c r="ER149" s="31"/>
      <c r="ES149" s="31"/>
      <c r="ET149" s="31"/>
      <c r="EU149" s="31"/>
      <c r="EV149" s="31"/>
      <c r="EW149" s="31"/>
      <c r="EX149" s="31"/>
      <c r="EY149" s="31"/>
      <c r="EZ149" s="31"/>
      <c r="FA149" s="31"/>
      <c r="FB149" s="31"/>
      <c r="FC149" s="31"/>
      <c r="FD149" s="31"/>
      <c r="FE149" s="31"/>
      <c r="FF149" s="31"/>
      <c r="FG149" s="31"/>
      <c r="FH149" s="31"/>
      <c r="FI149" s="31"/>
      <c r="FJ149" s="31"/>
      <c r="FK149" s="31"/>
      <c r="FL149" s="31"/>
      <c r="FM149" s="31"/>
      <c r="FN149" s="31"/>
      <c r="FO149" s="31"/>
      <c r="FP149" s="31"/>
      <c r="FQ149" s="31"/>
      <c r="FR149" s="31"/>
      <c r="FS149" s="31"/>
      <c r="FT149" s="31"/>
      <c r="FU149" s="31"/>
      <c r="FV149" s="31"/>
      <c r="FW149" s="31"/>
      <c r="FX149" s="31"/>
      <c r="FY149" s="31"/>
      <c r="FZ149" s="31"/>
      <c r="GA149" s="31"/>
      <c r="GB149" s="31"/>
      <c r="GC149" s="31"/>
      <c r="GD149" s="31"/>
      <c r="GE149" s="31"/>
      <c r="GF149" s="31"/>
      <c r="GG149" s="31"/>
      <c r="GH149" s="31"/>
      <c r="GI149" s="31"/>
      <c r="GJ149" s="31"/>
      <c r="GK149" s="31"/>
      <c r="GL149" s="31"/>
      <c r="GM149" s="31"/>
      <c r="GN149" s="31"/>
      <c r="GO149" s="31"/>
      <c r="GP149" s="31"/>
      <c r="GQ149" s="31"/>
      <c r="GR149" s="31"/>
      <c r="GS149" s="31"/>
      <c r="GT149" s="31"/>
      <c r="GU149" s="31"/>
      <c r="GV149" s="31"/>
      <c r="GW149" s="31"/>
      <c r="GX149" s="31"/>
      <c r="GY149" s="31"/>
      <c r="GZ149" s="31"/>
      <c r="HA149" s="31"/>
      <c r="HB149" s="31"/>
      <c r="HC149" s="31"/>
      <c r="HD149" s="31"/>
    </row>
    <row r="150" spans="1:212" s="32" customFormat="1" x14ac:dyDescent="0.25">
      <c r="A150" s="123">
        <v>14501145</v>
      </c>
      <c r="B150" s="70" t="s">
        <v>210</v>
      </c>
      <c r="C150" s="70" t="s">
        <v>269</v>
      </c>
      <c r="D150" s="114"/>
      <c r="E150" s="122" t="s">
        <v>78</v>
      </c>
      <c r="F150" s="70"/>
      <c r="G150" s="70"/>
      <c r="H150" s="115" t="s">
        <v>219</v>
      </c>
      <c r="I150" s="70"/>
      <c r="J150" s="70"/>
      <c r="K150" s="117"/>
      <c r="L150" s="31"/>
      <c r="M150" s="31"/>
      <c r="N150" s="12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  <c r="CJ150" s="31"/>
      <c r="CK150" s="31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  <c r="DC150" s="31"/>
      <c r="DD150" s="31"/>
      <c r="DE150" s="31"/>
      <c r="DF150" s="31"/>
      <c r="DG150" s="31"/>
      <c r="DH150" s="31"/>
      <c r="DI150" s="31"/>
      <c r="DJ150" s="31"/>
      <c r="DK150" s="31"/>
      <c r="DL150" s="31"/>
      <c r="DM150" s="31"/>
      <c r="DN150" s="31"/>
      <c r="DO150" s="31"/>
      <c r="DP150" s="31"/>
      <c r="DQ150" s="31"/>
      <c r="DR150" s="31"/>
      <c r="DS150" s="31"/>
      <c r="DT150" s="31"/>
      <c r="DU150" s="31"/>
      <c r="DV150" s="31"/>
      <c r="DW150" s="31"/>
      <c r="DX150" s="31"/>
      <c r="DY150" s="31"/>
      <c r="DZ150" s="31"/>
      <c r="EA150" s="31"/>
      <c r="EB150" s="31"/>
      <c r="EC150" s="31"/>
      <c r="ED150" s="31"/>
      <c r="EE150" s="31"/>
      <c r="EF150" s="31"/>
      <c r="EG150" s="31"/>
      <c r="EH150" s="31"/>
      <c r="EI150" s="31"/>
      <c r="EJ150" s="31"/>
      <c r="EK150" s="31"/>
      <c r="EL150" s="31"/>
      <c r="EM150" s="31"/>
      <c r="EN150" s="31"/>
      <c r="EO150" s="31"/>
      <c r="EP150" s="31"/>
      <c r="EQ150" s="31"/>
      <c r="ER150" s="31"/>
      <c r="ES150" s="31"/>
      <c r="ET150" s="31"/>
      <c r="EU150" s="31"/>
      <c r="EV150" s="31"/>
      <c r="EW150" s="31"/>
      <c r="EX150" s="31"/>
      <c r="EY150" s="31"/>
      <c r="EZ150" s="31"/>
      <c r="FA150" s="31"/>
      <c r="FB150" s="31"/>
      <c r="FC150" s="31"/>
      <c r="FD150" s="31"/>
      <c r="FE150" s="31"/>
      <c r="FF150" s="31"/>
      <c r="FG150" s="31"/>
      <c r="FH150" s="31"/>
      <c r="FI150" s="31"/>
      <c r="FJ150" s="31"/>
      <c r="FK150" s="31"/>
      <c r="FL150" s="31"/>
      <c r="FM150" s="31"/>
      <c r="FN150" s="31"/>
      <c r="FO150" s="31"/>
      <c r="FP150" s="31"/>
      <c r="FQ150" s="31"/>
      <c r="FR150" s="31"/>
      <c r="FS150" s="31"/>
      <c r="FT150" s="31"/>
      <c r="FU150" s="31"/>
      <c r="FV150" s="31"/>
      <c r="FW150" s="31"/>
      <c r="FX150" s="31"/>
      <c r="FY150" s="31"/>
      <c r="FZ150" s="31"/>
      <c r="GA150" s="31"/>
      <c r="GB150" s="31"/>
      <c r="GC150" s="31"/>
      <c r="GD150" s="31"/>
      <c r="GE150" s="31"/>
      <c r="GF150" s="31"/>
      <c r="GG150" s="31"/>
      <c r="GH150" s="31"/>
      <c r="GI150" s="31"/>
      <c r="GJ150" s="31"/>
      <c r="GK150" s="31"/>
      <c r="GL150" s="31"/>
      <c r="GM150" s="31"/>
      <c r="GN150" s="31"/>
      <c r="GO150" s="31"/>
      <c r="GP150" s="31"/>
      <c r="GQ150" s="31"/>
      <c r="GR150" s="31"/>
      <c r="GS150" s="31"/>
      <c r="GT150" s="31"/>
      <c r="GU150" s="31"/>
      <c r="GV150" s="31"/>
      <c r="GW150" s="31"/>
      <c r="GX150" s="31"/>
      <c r="GY150" s="31"/>
      <c r="GZ150" s="31"/>
      <c r="HA150" s="31"/>
      <c r="HB150" s="31"/>
      <c r="HC150" s="31"/>
      <c r="HD150" s="31"/>
    </row>
    <row r="151" spans="1:212" x14ac:dyDescent="0.25">
      <c r="A151" s="123">
        <v>14501146</v>
      </c>
      <c r="B151" s="70" t="s">
        <v>211</v>
      </c>
      <c r="C151" s="70" t="s">
        <v>269</v>
      </c>
      <c r="D151" s="114"/>
      <c r="E151" s="122" t="s">
        <v>77</v>
      </c>
      <c r="F151" s="70"/>
      <c r="G151" s="70"/>
      <c r="H151" s="115" t="s">
        <v>219</v>
      </c>
      <c r="I151" s="70"/>
      <c r="J151" s="70"/>
      <c r="K151" s="117"/>
      <c r="L151" s="31"/>
      <c r="M151" s="31"/>
      <c r="N151" s="12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  <c r="CJ151" s="31"/>
      <c r="CK151" s="31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  <c r="DC151" s="31"/>
      <c r="DD151" s="31"/>
      <c r="DE151" s="31"/>
      <c r="DF151" s="31"/>
      <c r="DG151" s="31"/>
      <c r="DH151" s="31"/>
      <c r="DI151" s="31"/>
      <c r="DJ151" s="31"/>
      <c r="DK151" s="31"/>
      <c r="DL151" s="31"/>
      <c r="DM151" s="31"/>
      <c r="DN151" s="31"/>
      <c r="DO151" s="31"/>
      <c r="DP151" s="31"/>
      <c r="DQ151" s="31"/>
      <c r="DR151" s="31"/>
      <c r="DS151" s="31"/>
      <c r="DT151" s="31"/>
      <c r="DU151" s="31"/>
      <c r="DV151" s="31"/>
      <c r="DW151" s="31"/>
      <c r="DX151" s="31"/>
      <c r="DY151" s="31"/>
      <c r="DZ151" s="31"/>
      <c r="EA151" s="31"/>
      <c r="EB151" s="31"/>
      <c r="EC151" s="31"/>
      <c r="ED151" s="31"/>
      <c r="EE151" s="31"/>
      <c r="EF151" s="31"/>
      <c r="EG151" s="31"/>
      <c r="EH151" s="31"/>
      <c r="EI151" s="31"/>
      <c r="EJ151" s="31"/>
      <c r="EK151" s="31"/>
      <c r="EL151" s="31"/>
      <c r="EM151" s="31"/>
      <c r="EN151" s="31"/>
      <c r="EO151" s="31"/>
      <c r="EP151" s="31"/>
      <c r="EQ151" s="31"/>
      <c r="ER151" s="31"/>
      <c r="ES151" s="31"/>
      <c r="ET151" s="31"/>
      <c r="EU151" s="31"/>
      <c r="EV151" s="31"/>
      <c r="EW151" s="31"/>
      <c r="EX151" s="31"/>
      <c r="EY151" s="31"/>
      <c r="EZ151" s="31"/>
      <c r="FA151" s="31"/>
      <c r="FB151" s="31"/>
      <c r="FC151" s="31"/>
      <c r="FD151" s="31"/>
      <c r="FE151" s="31"/>
      <c r="FF151" s="31"/>
      <c r="FG151" s="31"/>
      <c r="FH151" s="31"/>
      <c r="FI151" s="31"/>
      <c r="FJ151" s="31"/>
      <c r="FK151" s="31"/>
      <c r="FL151" s="31"/>
      <c r="FM151" s="31"/>
      <c r="FN151" s="31"/>
      <c r="FO151" s="31"/>
      <c r="FP151" s="31"/>
      <c r="FQ151" s="31"/>
      <c r="FR151" s="31"/>
      <c r="FS151" s="31"/>
      <c r="FT151" s="31"/>
      <c r="FU151" s="31"/>
      <c r="FV151" s="31"/>
      <c r="FW151" s="31"/>
      <c r="FX151" s="31"/>
      <c r="FY151" s="31"/>
      <c r="FZ151" s="31"/>
      <c r="GA151" s="31"/>
      <c r="GB151" s="31"/>
      <c r="GC151" s="31"/>
      <c r="GD151" s="31"/>
      <c r="GE151" s="31"/>
      <c r="GF151" s="31"/>
      <c r="GG151" s="31"/>
      <c r="GH151" s="31"/>
      <c r="GI151" s="31"/>
      <c r="GJ151" s="31"/>
      <c r="GK151" s="31"/>
      <c r="GL151" s="31"/>
      <c r="GM151" s="31"/>
      <c r="GN151" s="31"/>
      <c r="GO151" s="31"/>
      <c r="GP151" s="31"/>
      <c r="GQ151" s="31"/>
      <c r="GR151" s="31"/>
      <c r="GS151" s="31"/>
      <c r="GT151" s="31"/>
      <c r="GU151" s="31"/>
      <c r="GV151" s="31"/>
      <c r="GW151" s="31"/>
      <c r="GX151" s="31"/>
      <c r="GY151" s="31"/>
      <c r="GZ151" s="31"/>
      <c r="HA151" s="31"/>
      <c r="HB151" s="31"/>
      <c r="HC151" s="31"/>
      <c r="HD151" s="31"/>
    </row>
    <row r="152" spans="1:212" s="32" customFormat="1" x14ac:dyDescent="0.25">
      <c r="A152" s="123">
        <v>14501147</v>
      </c>
      <c r="B152" s="70" t="s">
        <v>212</v>
      </c>
      <c r="C152" s="70"/>
      <c r="D152" s="114"/>
      <c r="E152" s="122" t="s">
        <v>78</v>
      </c>
      <c r="F152" s="70"/>
      <c r="G152" s="70"/>
      <c r="H152" s="115" t="s">
        <v>219</v>
      </c>
      <c r="I152" s="70"/>
      <c r="J152" s="70"/>
      <c r="K152" s="117"/>
      <c r="L152" s="31"/>
      <c r="M152" s="31"/>
      <c r="N152" s="12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  <c r="CJ152" s="31"/>
      <c r="CK152" s="31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  <c r="DC152" s="31"/>
      <c r="DD152" s="31"/>
      <c r="DE152" s="31"/>
      <c r="DF152" s="31"/>
      <c r="DG152" s="31"/>
      <c r="DH152" s="31"/>
      <c r="DI152" s="31"/>
      <c r="DJ152" s="31"/>
      <c r="DK152" s="31"/>
      <c r="DL152" s="31"/>
      <c r="DM152" s="31"/>
      <c r="DN152" s="31"/>
      <c r="DO152" s="31"/>
      <c r="DP152" s="31"/>
      <c r="DQ152" s="31"/>
      <c r="DR152" s="31"/>
      <c r="DS152" s="31"/>
      <c r="DT152" s="31"/>
      <c r="DU152" s="31"/>
      <c r="DV152" s="31"/>
      <c r="DW152" s="31"/>
      <c r="DX152" s="31"/>
      <c r="DY152" s="31"/>
      <c r="DZ152" s="31"/>
      <c r="EA152" s="31"/>
      <c r="EB152" s="31"/>
      <c r="EC152" s="31"/>
      <c r="ED152" s="31"/>
      <c r="EE152" s="31"/>
      <c r="EF152" s="31"/>
      <c r="EG152" s="31"/>
      <c r="EH152" s="31"/>
      <c r="EI152" s="31"/>
      <c r="EJ152" s="31"/>
      <c r="EK152" s="31"/>
      <c r="EL152" s="31"/>
      <c r="EM152" s="31"/>
      <c r="EN152" s="31"/>
      <c r="EO152" s="31"/>
      <c r="EP152" s="31"/>
      <c r="EQ152" s="31"/>
      <c r="ER152" s="31"/>
      <c r="ES152" s="31"/>
      <c r="ET152" s="31"/>
      <c r="EU152" s="31"/>
      <c r="EV152" s="31"/>
      <c r="EW152" s="31"/>
      <c r="EX152" s="31"/>
      <c r="EY152" s="31"/>
      <c r="EZ152" s="31"/>
      <c r="FA152" s="31"/>
      <c r="FB152" s="31"/>
      <c r="FC152" s="31"/>
      <c r="FD152" s="31"/>
      <c r="FE152" s="31"/>
      <c r="FF152" s="31"/>
      <c r="FG152" s="31"/>
      <c r="FH152" s="31"/>
      <c r="FI152" s="31"/>
      <c r="FJ152" s="31"/>
      <c r="FK152" s="31"/>
      <c r="FL152" s="31"/>
      <c r="FM152" s="31"/>
      <c r="FN152" s="31"/>
      <c r="FO152" s="31"/>
      <c r="FP152" s="31"/>
      <c r="FQ152" s="31"/>
      <c r="FR152" s="31"/>
      <c r="FS152" s="31"/>
      <c r="FT152" s="31"/>
      <c r="FU152" s="31"/>
      <c r="FV152" s="31"/>
      <c r="FW152" s="31"/>
      <c r="FX152" s="31"/>
      <c r="FY152" s="31"/>
      <c r="FZ152" s="31"/>
      <c r="GA152" s="31"/>
      <c r="GB152" s="31"/>
      <c r="GC152" s="31"/>
      <c r="GD152" s="31"/>
      <c r="GE152" s="31"/>
      <c r="GF152" s="31"/>
      <c r="GG152" s="31"/>
      <c r="GH152" s="31"/>
      <c r="GI152" s="31"/>
      <c r="GJ152" s="31"/>
      <c r="GK152" s="31"/>
      <c r="GL152" s="31"/>
      <c r="GM152" s="31"/>
      <c r="GN152" s="31"/>
      <c r="GO152" s="31"/>
      <c r="GP152" s="31"/>
      <c r="GQ152" s="31"/>
      <c r="GR152" s="31"/>
      <c r="GS152" s="31"/>
      <c r="GT152" s="31"/>
      <c r="GU152" s="31"/>
      <c r="GV152" s="31"/>
      <c r="GW152" s="31"/>
      <c r="GX152" s="31"/>
      <c r="GY152" s="31"/>
      <c r="GZ152" s="31"/>
      <c r="HA152" s="31"/>
      <c r="HB152" s="31"/>
      <c r="HC152" s="31"/>
      <c r="HD152" s="31"/>
    </row>
    <row r="153" spans="1:212" x14ac:dyDescent="0.25">
      <c r="A153" s="123">
        <v>14501148</v>
      </c>
      <c r="B153" s="70" t="s">
        <v>213</v>
      </c>
      <c r="C153" s="70" t="s">
        <v>269</v>
      </c>
      <c r="D153" s="114"/>
      <c r="E153" s="122" t="s">
        <v>78</v>
      </c>
      <c r="F153" s="70"/>
      <c r="G153" s="70"/>
      <c r="H153" s="115" t="s">
        <v>219</v>
      </c>
      <c r="I153" s="70"/>
      <c r="J153" s="70"/>
      <c r="K153" s="117"/>
      <c r="L153" s="31"/>
      <c r="M153" s="31"/>
      <c r="N153" s="12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  <c r="CJ153" s="31"/>
      <c r="CK153" s="31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  <c r="DC153" s="31"/>
      <c r="DD153" s="31"/>
      <c r="DE153" s="31"/>
      <c r="DF153" s="31"/>
      <c r="DG153" s="31"/>
      <c r="DH153" s="31"/>
      <c r="DI153" s="31"/>
      <c r="DJ153" s="31"/>
      <c r="DK153" s="31"/>
      <c r="DL153" s="31"/>
      <c r="DM153" s="31"/>
      <c r="DN153" s="31"/>
      <c r="DO153" s="31"/>
      <c r="DP153" s="31"/>
      <c r="DQ153" s="31"/>
      <c r="DR153" s="31"/>
      <c r="DS153" s="31"/>
      <c r="DT153" s="31"/>
      <c r="DU153" s="31"/>
      <c r="DV153" s="31"/>
      <c r="DW153" s="31"/>
      <c r="DX153" s="31"/>
      <c r="DY153" s="31"/>
      <c r="DZ153" s="31"/>
      <c r="EA153" s="31"/>
      <c r="EB153" s="31"/>
      <c r="EC153" s="31"/>
      <c r="ED153" s="31"/>
      <c r="EE153" s="31"/>
      <c r="EF153" s="31"/>
      <c r="EG153" s="31"/>
      <c r="EH153" s="31"/>
      <c r="EI153" s="31"/>
      <c r="EJ153" s="31"/>
      <c r="EK153" s="31"/>
      <c r="EL153" s="31"/>
      <c r="EM153" s="31"/>
      <c r="EN153" s="31"/>
      <c r="EO153" s="31"/>
      <c r="EP153" s="31"/>
      <c r="EQ153" s="31"/>
      <c r="ER153" s="31"/>
      <c r="ES153" s="31"/>
      <c r="ET153" s="31"/>
      <c r="EU153" s="31"/>
      <c r="EV153" s="31"/>
      <c r="EW153" s="31"/>
      <c r="EX153" s="31"/>
      <c r="EY153" s="31"/>
      <c r="EZ153" s="31"/>
      <c r="FA153" s="31"/>
      <c r="FB153" s="31"/>
      <c r="FC153" s="31"/>
      <c r="FD153" s="31"/>
      <c r="FE153" s="31"/>
      <c r="FF153" s="31"/>
      <c r="FG153" s="31"/>
      <c r="FH153" s="31"/>
      <c r="FI153" s="31"/>
      <c r="FJ153" s="31"/>
      <c r="FK153" s="31"/>
      <c r="FL153" s="31"/>
      <c r="FM153" s="31"/>
      <c r="FN153" s="31"/>
      <c r="FO153" s="31"/>
      <c r="FP153" s="31"/>
      <c r="FQ153" s="31"/>
      <c r="FR153" s="31"/>
      <c r="FS153" s="31"/>
      <c r="FT153" s="31"/>
      <c r="FU153" s="31"/>
      <c r="FV153" s="31"/>
      <c r="FW153" s="31"/>
      <c r="FX153" s="31"/>
      <c r="FY153" s="31"/>
      <c r="FZ153" s="31"/>
      <c r="GA153" s="31"/>
      <c r="GB153" s="31"/>
      <c r="GC153" s="31"/>
      <c r="GD153" s="31"/>
      <c r="GE153" s="31"/>
      <c r="GF153" s="31"/>
      <c r="GG153" s="31"/>
      <c r="GH153" s="31"/>
      <c r="GI153" s="31"/>
      <c r="GJ153" s="31"/>
      <c r="GK153" s="31"/>
      <c r="GL153" s="31"/>
      <c r="GM153" s="31"/>
      <c r="GN153" s="31"/>
      <c r="GO153" s="31"/>
      <c r="GP153" s="31"/>
      <c r="GQ153" s="31"/>
      <c r="GR153" s="31"/>
      <c r="GS153" s="31"/>
      <c r="GT153" s="31"/>
      <c r="GU153" s="31"/>
      <c r="GV153" s="31"/>
      <c r="GW153" s="31"/>
      <c r="GX153" s="31"/>
      <c r="GY153" s="31"/>
      <c r="GZ153" s="31"/>
      <c r="HA153" s="31"/>
      <c r="HB153" s="31"/>
      <c r="HC153" s="31"/>
      <c r="HD153" s="31"/>
    </row>
    <row r="154" spans="1:212" s="32" customFormat="1" x14ac:dyDescent="0.25">
      <c r="A154" s="123">
        <v>14501149</v>
      </c>
      <c r="B154" s="70" t="s">
        <v>214</v>
      </c>
      <c r="C154" s="70" t="s">
        <v>269</v>
      </c>
      <c r="D154" s="114"/>
      <c r="E154" s="122" t="s">
        <v>78</v>
      </c>
      <c r="F154" s="70"/>
      <c r="G154" s="70"/>
      <c r="H154" s="115" t="s">
        <v>219</v>
      </c>
      <c r="I154" s="70"/>
      <c r="J154" s="70"/>
      <c r="K154" s="117"/>
      <c r="L154" s="31"/>
      <c r="M154" s="31"/>
      <c r="N154" s="12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  <c r="CJ154" s="31"/>
      <c r="CK154" s="31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  <c r="DC154" s="31"/>
      <c r="DD154" s="31"/>
      <c r="DE154" s="31"/>
      <c r="DF154" s="31"/>
      <c r="DG154" s="31"/>
      <c r="DH154" s="31"/>
      <c r="DI154" s="31"/>
      <c r="DJ154" s="31"/>
      <c r="DK154" s="31"/>
      <c r="DL154" s="31"/>
      <c r="DM154" s="31"/>
      <c r="DN154" s="31"/>
      <c r="DO154" s="31"/>
      <c r="DP154" s="31"/>
      <c r="DQ154" s="31"/>
      <c r="DR154" s="31"/>
      <c r="DS154" s="31"/>
      <c r="DT154" s="31"/>
      <c r="DU154" s="31"/>
      <c r="DV154" s="31"/>
      <c r="DW154" s="31"/>
      <c r="DX154" s="31"/>
      <c r="DY154" s="31"/>
      <c r="DZ154" s="31"/>
      <c r="EA154" s="31"/>
      <c r="EB154" s="31"/>
      <c r="EC154" s="31"/>
      <c r="ED154" s="31"/>
      <c r="EE154" s="31"/>
      <c r="EF154" s="31"/>
      <c r="EG154" s="31"/>
      <c r="EH154" s="31"/>
      <c r="EI154" s="31"/>
      <c r="EJ154" s="31"/>
      <c r="EK154" s="31"/>
      <c r="EL154" s="31"/>
      <c r="EM154" s="31"/>
      <c r="EN154" s="31"/>
      <c r="EO154" s="31"/>
      <c r="EP154" s="31"/>
      <c r="EQ154" s="31"/>
      <c r="ER154" s="31"/>
      <c r="ES154" s="31"/>
      <c r="ET154" s="31"/>
      <c r="EU154" s="31"/>
      <c r="EV154" s="31"/>
      <c r="EW154" s="31"/>
      <c r="EX154" s="31"/>
      <c r="EY154" s="31"/>
      <c r="EZ154" s="31"/>
      <c r="FA154" s="31"/>
      <c r="FB154" s="31"/>
      <c r="FC154" s="31"/>
      <c r="FD154" s="31"/>
      <c r="FE154" s="31"/>
      <c r="FF154" s="31"/>
      <c r="FG154" s="31"/>
      <c r="FH154" s="31"/>
      <c r="FI154" s="31"/>
      <c r="FJ154" s="31"/>
      <c r="FK154" s="31"/>
      <c r="FL154" s="31"/>
      <c r="FM154" s="31"/>
      <c r="FN154" s="31"/>
      <c r="FO154" s="31"/>
      <c r="FP154" s="31"/>
      <c r="FQ154" s="31"/>
      <c r="FR154" s="31"/>
      <c r="FS154" s="31"/>
      <c r="FT154" s="31"/>
      <c r="FU154" s="31"/>
      <c r="FV154" s="31"/>
      <c r="FW154" s="31"/>
      <c r="FX154" s="31"/>
      <c r="FY154" s="31"/>
      <c r="FZ154" s="31"/>
      <c r="GA154" s="31"/>
      <c r="GB154" s="31"/>
      <c r="GC154" s="31"/>
      <c r="GD154" s="31"/>
      <c r="GE154" s="31"/>
      <c r="GF154" s="31"/>
      <c r="GG154" s="31"/>
      <c r="GH154" s="31"/>
      <c r="GI154" s="31"/>
      <c r="GJ154" s="31"/>
      <c r="GK154" s="31"/>
      <c r="GL154" s="31"/>
      <c r="GM154" s="31"/>
      <c r="GN154" s="31"/>
      <c r="GO154" s="31"/>
      <c r="GP154" s="31"/>
      <c r="GQ154" s="31"/>
      <c r="GR154" s="31"/>
      <c r="GS154" s="31"/>
      <c r="GT154" s="31"/>
      <c r="GU154" s="31"/>
      <c r="GV154" s="31"/>
      <c r="GW154" s="31"/>
      <c r="GX154" s="31"/>
      <c r="GY154" s="31"/>
      <c r="GZ154" s="31"/>
      <c r="HA154" s="31"/>
      <c r="HB154" s="31"/>
      <c r="HC154" s="31"/>
      <c r="HD154" s="31"/>
    </row>
    <row r="155" spans="1:212" x14ac:dyDescent="0.25">
      <c r="A155" s="123">
        <v>14501150</v>
      </c>
      <c r="B155" s="70" t="s">
        <v>215</v>
      </c>
      <c r="C155" s="70" t="s">
        <v>269</v>
      </c>
      <c r="D155" s="114"/>
      <c r="E155" s="122" t="s">
        <v>77</v>
      </c>
      <c r="F155" s="70"/>
      <c r="G155" s="70"/>
      <c r="H155" s="115" t="s">
        <v>219</v>
      </c>
      <c r="I155" s="70"/>
      <c r="J155" s="70"/>
      <c r="K155" s="117"/>
      <c r="L155" s="31"/>
      <c r="M155" s="31"/>
      <c r="N155" s="12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  <c r="CJ155" s="31"/>
      <c r="CK155" s="31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  <c r="DC155" s="31"/>
      <c r="DD155" s="31"/>
      <c r="DE155" s="31"/>
      <c r="DF155" s="31"/>
      <c r="DG155" s="31"/>
      <c r="DH155" s="31"/>
      <c r="DI155" s="31"/>
      <c r="DJ155" s="31"/>
      <c r="DK155" s="31"/>
      <c r="DL155" s="31"/>
      <c r="DM155" s="31"/>
      <c r="DN155" s="31"/>
      <c r="DO155" s="31"/>
      <c r="DP155" s="31"/>
      <c r="DQ155" s="31"/>
      <c r="DR155" s="31"/>
      <c r="DS155" s="31"/>
      <c r="DT155" s="31"/>
      <c r="DU155" s="31"/>
      <c r="DV155" s="31"/>
      <c r="DW155" s="31"/>
      <c r="DX155" s="31"/>
      <c r="DY155" s="31"/>
      <c r="DZ155" s="31"/>
      <c r="EA155" s="31"/>
      <c r="EB155" s="31"/>
      <c r="EC155" s="31"/>
      <c r="ED155" s="31"/>
      <c r="EE155" s="31"/>
      <c r="EF155" s="31"/>
      <c r="EG155" s="31"/>
      <c r="EH155" s="31"/>
      <c r="EI155" s="31"/>
      <c r="EJ155" s="31"/>
      <c r="EK155" s="31"/>
      <c r="EL155" s="31"/>
      <c r="EM155" s="31"/>
      <c r="EN155" s="31"/>
      <c r="EO155" s="31"/>
      <c r="EP155" s="31"/>
      <c r="EQ155" s="31"/>
      <c r="ER155" s="31"/>
      <c r="ES155" s="31"/>
      <c r="ET155" s="31"/>
      <c r="EU155" s="31"/>
      <c r="EV155" s="31"/>
      <c r="EW155" s="31"/>
      <c r="EX155" s="31"/>
      <c r="EY155" s="31"/>
      <c r="EZ155" s="31"/>
      <c r="FA155" s="31"/>
      <c r="FB155" s="31"/>
      <c r="FC155" s="31"/>
      <c r="FD155" s="31"/>
      <c r="FE155" s="31"/>
      <c r="FF155" s="31"/>
      <c r="FG155" s="31"/>
      <c r="FH155" s="31"/>
      <c r="FI155" s="31"/>
      <c r="FJ155" s="31"/>
      <c r="FK155" s="31"/>
      <c r="FL155" s="31"/>
      <c r="FM155" s="31"/>
      <c r="FN155" s="31"/>
      <c r="FO155" s="31"/>
      <c r="FP155" s="31"/>
      <c r="FQ155" s="31"/>
      <c r="FR155" s="31"/>
      <c r="FS155" s="31"/>
      <c r="FT155" s="31"/>
      <c r="FU155" s="31"/>
      <c r="FV155" s="31"/>
      <c r="FW155" s="31"/>
      <c r="FX155" s="31"/>
      <c r="FY155" s="31"/>
      <c r="FZ155" s="31"/>
      <c r="GA155" s="31"/>
      <c r="GB155" s="31"/>
      <c r="GC155" s="31"/>
      <c r="GD155" s="31"/>
      <c r="GE155" s="31"/>
      <c r="GF155" s="31"/>
      <c r="GG155" s="31"/>
      <c r="GH155" s="31"/>
      <c r="GI155" s="31"/>
      <c r="GJ155" s="31"/>
      <c r="GK155" s="31"/>
      <c r="GL155" s="31"/>
      <c r="GM155" s="31"/>
      <c r="GN155" s="31"/>
      <c r="GO155" s="31"/>
      <c r="GP155" s="31"/>
      <c r="GQ155" s="31"/>
      <c r="GR155" s="31"/>
      <c r="GS155" s="31"/>
      <c r="GT155" s="31"/>
      <c r="GU155" s="31"/>
      <c r="GV155" s="31"/>
      <c r="GW155" s="31"/>
      <c r="GX155" s="31"/>
      <c r="GY155" s="31"/>
      <c r="GZ155" s="31"/>
      <c r="HA155" s="31"/>
      <c r="HB155" s="31"/>
      <c r="HC155" s="31"/>
      <c r="HD155" s="31"/>
    </row>
    <row r="156" spans="1:212" s="32" customFormat="1" x14ac:dyDescent="0.25">
      <c r="A156" s="123">
        <v>14501151</v>
      </c>
      <c r="B156" s="70" t="s">
        <v>216</v>
      </c>
      <c r="C156" s="70" t="s">
        <v>269</v>
      </c>
      <c r="D156" s="114"/>
      <c r="E156" s="122" t="s">
        <v>78</v>
      </c>
      <c r="F156" s="70"/>
      <c r="G156" s="70"/>
      <c r="H156" s="115" t="s">
        <v>219</v>
      </c>
      <c r="I156" s="70"/>
      <c r="J156" s="70"/>
      <c r="K156" s="117"/>
      <c r="L156" s="31"/>
      <c r="M156" s="31"/>
      <c r="N156" s="12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  <c r="CJ156" s="31"/>
      <c r="CK156" s="31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  <c r="DC156" s="31"/>
      <c r="DD156" s="31"/>
      <c r="DE156" s="31"/>
      <c r="DF156" s="31"/>
      <c r="DG156" s="31"/>
      <c r="DH156" s="31"/>
      <c r="DI156" s="31"/>
      <c r="DJ156" s="31"/>
      <c r="DK156" s="31"/>
      <c r="DL156" s="31"/>
      <c r="DM156" s="31"/>
      <c r="DN156" s="31"/>
      <c r="DO156" s="31"/>
      <c r="DP156" s="31"/>
      <c r="DQ156" s="31"/>
      <c r="DR156" s="31"/>
      <c r="DS156" s="31"/>
      <c r="DT156" s="31"/>
      <c r="DU156" s="31"/>
      <c r="DV156" s="31"/>
      <c r="DW156" s="31"/>
      <c r="DX156" s="31"/>
      <c r="DY156" s="31"/>
      <c r="DZ156" s="31"/>
      <c r="EA156" s="31"/>
      <c r="EB156" s="31"/>
      <c r="EC156" s="31"/>
      <c r="ED156" s="31"/>
      <c r="EE156" s="31"/>
      <c r="EF156" s="31"/>
      <c r="EG156" s="31"/>
      <c r="EH156" s="31"/>
      <c r="EI156" s="31"/>
      <c r="EJ156" s="31"/>
      <c r="EK156" s="31"/>
      <c r="EL156" s="31"/>
      <c r="EM156" s="31"/>
      <c r="EN156" s="31"/>
      <c r="EO156" s="31"/>
      <c r="EP156" s="31"/>
      <c r="EQ156" s="31"/>
      <c r="ER156" s="31"/>
      <c r="ES156" s="31"/>
      <c r="ET156" s="31"/>
      <c r="EU156" s="31"/>
      <c r="EV156" s="31"/>
      <c r="EW156" s="31"/>
      <c r="EX156" s="31"/>
      <c r="EY156" s="31"/>
      <c r="EZ156" s="31"/>
      <c r="FA156" s="31"/>
      <c r="FB156" s="31"/>
      <c r="FC156" s="31"/>
      <c r="FD156" s="31"/>
      <c r="FE156" s="31"/>
      <c r="FF156" s="31"/>
      <c r="FG156" s="31"/>
      <c r="FH156" s="31"/>
      <c r="FI156" s="31"/>
      <c r="FJ156" s="31"/>
      <c r="FK156" s="31"/>
      <c r="FL156" s="31"/>
      <c r="FM156" s="31"/>
      <c r="FN156" s="31"/>
      <c r="FO156" s="31"/>
      <c r="FP156" s="31"/>
      <c r="FQ156" s="31"/>
      <c r="FR156" s="31"/>
      <c r="FS156" s="31"/>
      <c r="FT156" s="31"/>
      <c r="FU156" s="31"/>
      <c r="FV156" s="31"/>
      <c r="FW156" s="31"/>
      <c r="FX156" s="31"/>
      <c r="FY156" s="31"/>
      <c r="FZ156" s="31"/>
      <c r="GA156" s="31"/>
      <c r="GB156" s="31"/>
      <c r="GC156" s="31"/>
      <c r="GD156" s="31"/>
      <c r="GE156" s="31"/>
      <c r="GF156" s="31"/>
      <c r="GG156" s="31"/>
      <c r="GH156" s="31"/>
      <c r="GI156" s="31"/>
      <c r="GJ156" s="31"/>
      <c r="GK156" s="31"/>
      <c r="GL156" s="31"/>
      <c r="GM156" s="31"/>
      <c r="GN156" s="31"/>
      <c r="GO156" s="31"/>
      <c r="GP156" s="31"/>
      <c r="GQ156" s="31"/>
      <c r="GR156" s="31"/>
      <c r="GS156" s="31"/>
      <c r="GT156" s="31"/>
      <c r="GU156" s="31"/>
      <c r="GV156" s="31"/>
      <c r="GW156" s="31"/>
      <c r="GX156" s="31"/>
      <c r="GY156" s="31"/>
      <c r="GZ156" s="31"/>
      <c r="HA156" s="31"/>
      <c r="HB156" s="31"/>
      <c r="HC156" s="31"/>
      <c r="HD156" s="31"/>
    </row>
    <row r="157" spans="1:212" x14ac:dyDescent="0.25">
      <c r="A157" s="123">
        <v>14501152</v>
      </c>
      <c r="B157" s="70" t="s">
        <v>217</v>
      </c>
      <c r="C157" s="70" t="s">
        <v>269</v>
      </c>
      <c r="D157" s="114"/>
      <c r="E157" s="122" t="s">
        <v>78</v>
      </c>
      <c r="F157" s="70"/>
      <c r="G157" s="70"/>
      <c r="H157" s="115" t="s">
        <v>219</v>
      </c>
      <c r="I157" s="70"/>
      <c r="J157" s="70"/>
      <c r="K157" s="117"/>
      <c r="L157" s="31"/>
      <c r="M157" s="31"/>
      <c r="N157" s="12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  <c r="CJ157" s="31"/>
      <c r="CK157" s="31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  <c r="DC157" s="31"/>
      <c r="DD157" s="31"/>
      <c r="DE157" s="31"/>
      <c r="DF157" s="31"/>
      <c r="DG157" s="31"/>
      <c r="DH157" s="31"/>
      <c r="DI157" s="31"/>
      <c r="DJ157" s="31"/>
      <c r="DK157" s="31"/>
      <c r="DL157" s="31"/>
      <c r="DM157" s="31"/>
      <c r="DN157" s="31"/>
      <c r="DO157" s="31"/>
      <c r="DP157" s="31"/>
      <c r="DQ157" s="31"/>
      <c r="DR157" s="31"/>
      <c r="DS157" s="31"/>
      <c r="DT157" s="31"/>
      <c r="DU157" s="31"/>
      <c r="DV157" s="31"/>
      <c r="DW157" s="31"/>
      <c r="DX157" s="31"/>
      <c r="DY157" s="31"/>
      <c r="DZ157" s="31"/>
      <c r="EA157" s="31"/>
      <c r="EB157" s="31"/>
      <c r="EC157" s="31"/>
      <c r="ED157" s="31"/>
      <c r="EE157" s="31"/>
      <c r="EF157" s="31"/>
      <c r="EG157" s="31"/>
      <c r="EH157" s="31"/>
      <c r="EI157" s="31"/>
      <c r="EJ157" s="31"/>
      <c r="EK157" s="31"/>
      <c r="EL157" s="31"/>
      <c r="EM157" s="31"/>
      <c r="EN157" s="31"/>
      <c r="EO157" s="31"/>
      <c r="EP157" s="31"/>
      <c r="EQ157" s="31"/>
      <c r="ER157" s="31"/>
      <c r="ES157" s="31"/>
      <c r="ET157" s="31"/>
      <c r="EU157" s="31"/>
      <c r="EV157" s="31"/>
      <c r="EW157" s="31"/>
      <c r="EX157" s="31"/>
      <c r="EY157" s="31"/>
      <c r="EZ157" s="31"/>
      <c r="FA157" s="31"/>
      <c r="FB157" s="31"/>
      <c r="FC157" s="31"/>
      <c r="FD157" s="31"/>
      <c r="FE157" s="31"/>
      <c r="FF157" s="31"/>
      <c r="FG157" s="31"/>
      <c r="FH157" s="31"/>
      <c r="FI157" s="31"/>
      <c r="FJ157" s="31"/>
      <c r="FK157" s="31"/>
      <c r="FL157" s="31"/>
      <c r="FM157" s="31"/>
      <c r="FN157" s="31"/>
      <c r="FO157" s="31"/>
      <c r="FP157" s="31"/>
      <c r="FQ157" s="31"/>
      <c r="FR157" s="31"/>
      <c r="FS157" s="31"/>
      <c r="FT157" s="31"/>
      <c r="FU157" s="31"/>
      <c r="FV157" s="31"/>
      <c r="FW157" s="31"/>
      <c r="FX157" s="31"/>
      <c r="FY157" s="31"/>
      <c r="FZ157" s="31"/>
      <c r="GA157" s="31"/>
      <c r="GB157" s="31"/>
      <c r="GC157" s="31"/>
      <c r="GD157" s="31"/>
      <c r="GE157" s="31"/>
      <c r="GF157" s="31"/>
      <c r="GG157" s="31"/>
      <c r="GH157" s="31"/>
      <c r="GI157" s="31"/>
      <c r="GJ157" s="31"/>
      <c r="GK157" s="31"/>
      <c r="GL157" s="31"/>
      <c r="GM157" s="31"/>
      <c r="GN157" s="31"/>
      <c r="GO157" s="31"/>
      <c r="GP157" s="31"/>
      <c r="GQ157" s="31"/>
      <c r="GR157" s="31"/>
      <c r="GS157" s="31"/>
      <c r="GT157" s="31"/>
      <c r="GU157" s="31"/>
      <c r="GV157" s="31"/>
      <c r="GW157" s="31"/>
      <c r="GX157" s="31"/>
      <c r="GY157" s="31"/>
      <c r="GZ157" s="31"/>
      <c r="HA157" s="31"/>
      <c r="HB157" s="31"/>
      <c r="HC157" s="31"/>
      <c r="HD157" s="31"/>
    </row>
    <row r="158" spans="1:212" s="32" customFormat="1" x14ac:dyDescent="0.25">
      <c r="A158" s="123">
        <v>14501153</v>
      </c>
      <c r="B158" s="70" t="s">
        <v>218</v>
      </c>
      <c r="C158" s="70" t="s">
        <v>269</v>
      </c>
      <c r="D158" s="114"/>
      <c r="E158" s="122" t="s">
        <v>77</v>
      </c>
      <c r="F158" s="70"/>
      <c r="G158" s="70"/>
      <c r="H158" s="115" t="s">
        <v>219</v>
      </c>
      <c r="I158" s="70"/>
      <c r="J158" s="70"/>
      <c r="K158" s="117"/>
      <c r="L158" s="31"/>
      <c r="M158" s="31"/>
      <c r="N158" s="12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  <c r="CJ158" s="31"/>
      <c r="CK158" s="31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  <c r="DC158" s="31"/>
      <c r="DD158" s="31"/>
      <c r="DE158" s="31"/>
      <c r="DF158" s="31"/>
      <c r="DG158" s="31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EJ158" s="31"/>
      <c r="EK158" s="31"/>
      <c r="EL158" s="31"/>
      <c r="EM158" s="31"/>
      <c r="EN158" s="31"/>
      <c r="EO158" s="31"/>
      <c r="EP158" s="31"/>
      <c r="EQ158" s="31"/>
      <c r="ER158" s="31"/>
      <c r="ES158" s="31"/>
      <c r="ET158" s="31"/>
      <c r="EU158" s="31"/>
      <c r="EV158" s="31"/>
      <c r="EW158" s="31"/>
      <c r="EX158" s="31"/>
      <c r="EY158" s="31"/>
      <c r="EZ158" s="31"/>
      <c r="FA158" s="31"/>
      <c r="FB158" s="31"/>
      <c r="FC158" s="31"/>
      <c r="FD158" s="31"/>
      <c r="FE158" s="31"/>
      <c r="FF158" s="31"/>
      <c r="FG158" s="31"/>
      <c r="FH158" s="31"/>
      <c r="FI158" s="31"/>
      <c r="FJ158" s="31"/>
      <c r="FK158" s="31"/>
      <c r="FL158" s="31"/>
      <c r="FM158" s="31"/>
      <c r="FN158" s="31"/>
      <c r="FO158" s="31"/>
      <c r="FP158" s="31"/>
      <c r="FQ158" s="31"/>
      <c r="FR158" s="31"/>
      <c r="FS158" s="31"/>
      <c r="FT158" s="31"/>
      <c r="FU158" s="31"/>
      <c r="FV158" s="31"/>
      <c r="FW158" s="31"/>
      <c r="FX158" s="31"/>
      <c r="FY158" s="31"/>
      <c r="FZ158" s="31"/>
      <c r="GA158" s="31"/>
      <c r="GB158" s="31"/>
      <c r="GC158" s="31"/>
      <c r="GD158" s="31"/>
      <c r="GE158" s="31"/>
      <c r="GF158" s="31"/>
      <c r="GG158" s="31"/>
      <c r="GH158" s="31"/>
      <c r="GI158" s="31"/>
      <c r="GJ158" s="31"/>
      <c r="GK158" s="31"/>
      <c r="GL158" s="31"/>
      <c r="GM158" s="31"/>
      <c r="GN158" s="31"/>
      <c r="GO158" s="31"/>
      <c r="GP158" s="31"/>
      <c r="GQ158" s="31"/>
      <c r="GR158" s="31"/>
      <c r="GS158" s="31"/>
      <c r="GT158" s="31"/>
      <c r="GU158" s="31"/>
      <c r="GV158" s="31"/>
      <c r="GW158" s="31"/>
      <c r="GX158" s="31"/>
      <c r="GY158" s="31"/>
      <c r="GZ158" s="31"/>
      <c r="HA158" s="31"/>
      <c r="HB158" s="31"/>
      <c r="HC158" s="31"/>
      <c r="HD158" s="31"/>
    </row>
    <row r="159" spans="1:212" x14ac:dyDescent="0.25">
      <c r="A159" s="123">
        <v>14501154</v>
      </c>
      <c r="B159" s="70" t="s">
        <v>220</v>
      </c>
      <c r="C159" s="70" t="s">
        <v>269</v>
      </c>
      <c r="D159" s="114"/>
      <c r="E159" s="122" t="s">
        <v>77</v>
      </c>
      <c r="F159" s="70"/>
      <c r="G159" s="70"/>
      <c r="H159" s="115" t="s">
        <v>219</v>
      </c>
      <c r="I159" s="70"/>
      <c r="J159" s="70"/>
      <c r="K159" s="117"/>
      <c r="L159" s="31"/>
      <c r="M159" s="31"/>
      <c r="N159" s="12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  <c r="CJ159" s="31"/>
      <c r="CK159" s="31"/>
      <c r="CL159" s="31"/>
      <c r="CM159" s="31"/>
      <c r="CN159" s="31"/>
      <c r="CO159" s="31"/>
      <c r="CP159" s="31"/>
      <c r="CQ159" s="31"/>
      <c r="CR159" s="31"/>
      <c r="CS159" s="31"/>
      <c r="CT159" s="31"/>
      <c r="CU159" s="31"/>
      <c r="CV159" s="31"/>
      <c r="CW159" s="31"/>
      <c r="CX159" s="31"/>
      <c r="CY159" s="31"/>
      <c r="CZ159" s="31"/>
      <c r="DA159" s="31"/>
      <c r="DB159" s="31"/>
      <c r="DC159" s="31"/>
      <c r="DD159" s="31"/>
      <c r="DE159" s="31"/>
      <c r="DF159" s="31"/>
      <c r="DG159" s="31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EJ159" s="31"/>
      <c r="EK159" s="31"/>
      <c r="EL159" s="31"/>
      <c r="EM159" s="31"/>
      <c r="EN159" s="31"/>
      <c r="EO159" s="31"/>
      <c r="EP159" s="31"/>
      <c r="EQ159" s="31"/>
      <c r="ER159" s="31"/>
      <c r="ES159" s="31"/>
      <c r="ET159" s="31"/>
      <c r="EU159" s="31"/>
      <c r="EV159" s="31"/>
      <c r="EW159" s="31"/>
      <c r="EX159" s="31"/>
      <c r="EY159" s="31"/>
      <c r="EZ159" s="31"/>
      <c r="FA159" s="31"/>
      <c r="FB159" s="31"/>
      <c r="FC159" s="31"/>
      <c r="FD159" s="31"/>
      <c r="FE159" s="31"/>
      <c r="FF159" s="31"/>
      <c r="FG159" s="31"/>
      <c r="FH159" s="31"/>
      <c r="FI159" s="31"/>
      <c r="FJ159" s="31"/>
      <c r="FK159" s="31"/>
      <c r="FL159" s="31"/>
      <c r="FM159" s="31"/>
      <c r="FN159" s="31"/>
      <c r="FO159" s="31"/>
      <c r="FP159" s="31"/>
      <c r="FQ159" s="31"/>
      <c r="FR159" s="31"/>
      <c r="FS159" s="31"/>
      <c r="FT159" s="31"/>
      <c r="FU159" s="31"/>
      <c r="FV159" s="31"/>
      <c r="FW159" s="31"/>
      <c r="FX159" s="31"/>
      <c r="FY159" s="31"/>
      <c r="FZ159" s="31"/>
      <c r="GA159" s="31"/>
      <c r="GB159" s="31"/>
      <c r="GC159" s="31"/>
      <c r="GD159" s="31"/>
      <c r="GE159" s="31"/>
      <c r="GF159" s="31"/>
      <c r="GG159" s="31"/>
      <c r="GH159" s="31"/>
      <c r="GI159" s="31"/>
      <c r="GJ159" s="31"/>
      <c r="GK159" s="31"/>
      <c r="GL159" s="31"/>
      <c r="GM159" s="31"/>
      <c r="GN159" s="31"/>
      <c r="GO159" s="31"/>
      <c r="GP159" s="31"/>
      <c r="GQ159" s="31"/>
      <c r="GR159" s="31"/>
      <c r="GS159" s="31"/>
      <c r="GT159" s="31"/>
      <c r="GU159" s="31"/>
      <c r="GV159" s="31"/>
      <c r="GW159" s="31"/>
      <c r="GX159" s="31"/>
      <c r="GY159" s="31"/>
      <c r="GZ159" s="31"/>
      <c r="HA159" s="31"/>
      <c r="HB159" s="31"/>
      <c r="HC159" s="31"/>
      <c r="HD159" s="31"/>
    </row>
    <row r="160" spans="1:212" s="32" customFormat="1" x14ac:dyDescent="0.25">
      <c r="A160" s="123">
        <v>14501155</v>
      </c>
      <c r="B160" s="70" t="s">
        <v>221</v>
      </c>
      <c r="C160" s="70" t="s">
        <v>269</v>
      </c>
      <c r="D160" s="114"/>
      <c r="E160" s="122" t="s">
        <v>77</v>
      </c>
      <c r="F160" s="70"/>
      <c r="G160" s="70"/>
      <c r="H160" s="115" t="s">
        <v>219</v>
      </c>
      <c r="I160" s="70"/>
      <c r="J160" s="70"/>
      <c r="K160" s="117"/>
      <c r="L160" s="31"/>
      <c r="M160" s="31"/>
      <c r="N160" s="12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  <c r="BS160" s="31"/>
      <c r="BT160" s="31"/>
      <c r="BU160" s="31"/>
      <c r="BV160" s="31"/>
      <c r="BW160" s="31"/>
      <c r="BX160" s="31"/>
      <c r="BY160" s="31"/>
      <c r="BZ160" s="31"/>
      <c r="CA160" s="31"/>
      <c r="CB160" s="31"/>
      <c r="CC160" s="31"/>
      <c r="CD160" s="31"/>
      <c r="CE160" s="31"/>
      <c r="CF160" s="31"/>
      <c r="CG160" s="31"/>
      <c r="CH160" s="31"/>
      <c r="CI160" s="31"/>
      <c r="CJ160" s="31"/>
      <c r="CK160" s="31"/>
      <c r="CL160" s="31"/>
      <c r="CM160" s="31"/>
      <c r="CN160" s="31"/>
      <c r="CO160" s="31"/>
      <c r="CP160" s="31"/>
      <c r="CQ160" s="31"/>
      <c r="CR160" s="31"/>
      <c r="CS160" s="31"/>
      <c r="CT160" s="31"/>
      <c r="CU160" s="31"/>
      <c r="CV160" s="31"/>
      <c r="CW160" s="31"/>
      <c r="CX160" s="31"/>
      <c r="CY160" s="31"/>
      <c r="CZ160" s="31"/>
      <c r="DA160" s="31"/>
      <c r="DB160" s="31"/>
      <c r="DC160" s="31"/>
      <c r="DD160" s="31"/>
      <c r="DE160" s="31"/>
      <c r="DF160" s="31"/>
      <c r="DG160" s="31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EJ160" s="31"/>
      <c r="EK160" s="31"/>
      <c r="EL160" s="31"/>
      <c r="EM160" s="31"/>
      <c r="EN160" s="31"/>
      <c r="EO160" s="31"/>
      <c r="EP160" s="31"/>
      <c r="EQ160" s="31"/>
      <c r="ER160" s="31"/>
      <c r="ES160" s="31"/>
      <c r="ET160" s="31"/>
      <c r="EU160" s="31"/>
      <c r="EV160" s="31"/>
      <c r="EW160" s="31"/>
      <c r="EX160" s="31"/>
      <c r="EY160" s="31"/>
      <c r="EZ160" s="31"/>
      <c r="FA160" s="31"/>
      <c r="FB160" s="31"/>
      <c r="FC160" s="31"/>
      <c r="FD160" s="31"/>
      <c r="FE160" s="31"/>
      <c r="FF160" s="31"/>
      <c r="FG160" s="31"/>
      <c r="FH160" s="31"/>
      <c r="FI160" s="31"/>
      <c r="FJ160" s="31"/>
      <c r="FK160" s="31"/>
      <c r="FL160" s="31"/>
      <c r="FM160" s="31"/>
      <c r="FN160" s="31"/>
      <c r="FO160" s="31"/>
      <c r="FP160" s="31"/>
      <c r="FQ160" s="31"/>
      <c r="FR160" s="31"/>
      <c r="FS160" s="31"/>
      <c r="FT160" s="31"/>
      <c r="FU160" s="31"/>
      <c r="FV160" s="31"/>
      <c r="FW160" s="31"/>
      <c r="FX160" s="31"/>
      <c r="FY160" s="31"/>
      <c r="FZ160" s="31"/>
      <c r="GA160" s="31"/>
      <c r="GB160" s="31"/>
      <c r="GC160" s="31"/>
      <c r="GD160" s="31"/>
      <c r="GE160" s="31"/>
      <c r="GF160" s="31"/>
      <c r="GG160" s="31"/>
      <c r="GH160" s="31"/>
      <c r="GI160" s="31"/>
      <c r="GJ160" s="31"/>
      <c r="GK160" s="31"/>
      <c r="GL160" s="31"/>
      <c r="GM160" s="31"/>
      <c r="GN160" s="31"/>
      <c r="GO160" s="31"/>
      <c r="GP160" s="31"/>
      <c r="GQ160" s="31"/>
      <c r="GR160" s="31"/>
      <c r="GS160" s="31"/>
      <c r="GT160" s="31"/>
      <c r="GU160" s="31"/>
      <c r="GV160" s="31"/>
      <c r="GW160" s="31"/>
      <c r="GX160" s="31"/>
      <c r="GY160" s="31"/>
      <c r="GZ160" s="31"/>
      <c r="HA160" s="31"/>
      <c r="HB160" s="31"/>
      <c r="HC160" s="31"/>
      <c r="HD160" s="31"/>
    </row>
    <row r="161" spans="1:212" x14ac:dyDescent="0.25">
      <c r="A161" s="123">
        <v>14501156</v>
      </c>
      <c r="B161" s="70" t="s">
        <v>222</v>
      </c>
      <c r="C161" s="70" t="s">
        <v>269</v>
      </c>
      <c r="D161" s="114"/>
      <c r="E161" s="122" t="s">
        <v>78</v>
      </c>
      <c r="F161" s="70"/>
      <c r="G161" s="70"/>
      <c r="H161" s="115" t="s">
        <v>219</v>
      </c>
      <c r="I161" s="70"/>
      <c r="J161" s="70"/>
      <c r="K161" s="117"/>
      <c r="L161" s="31"/>
      <c r="M161" s="31"/>
      <c r="N161" s="12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  <c r="BS161" s="31"/>
      <c r="BT161" s="31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EJ161" s="31"/>
      <c r="EK161" s="31"/>
      <c r="EL161" s="31"/>
      <c r="EM161" s="31"/>
      <c r="EN161" s="31"/>
      <c r="EO161" s="31"/>
      <c r="EP161" s="31"/>
      <c r="EQ161" s="31"/>
      <c r="ER161" s="31"/>
      <c r="ES161" s="31"/>
      <c r="ET161" s="31"/>
      <c r="EU161" s="31"/>
      <c r="EV161" s="31"/>
      <c r="EW161" s="31"/>
      <c r="EX161" s="31"/>
      <c r="EY161" s="31"/>
      <c r="EZ161" s="31"/>
      <c r="FA161" s="31"/>
      <c r="FB161" s="31"/>
      <c r="FC161" s="31"/>
      <c r="FD161" s="31"/>
      <c r="FE161" s="31"/>
      <c r="FF161" s="31"/>
      <c r="FG161" s="31"/>
      <c r="FH161" s="31"/>
      <c r="FI161" s="31"/>
      <c r="FJ161" s="31"/>
      <c r="FK161" s="31"/>
      <c r="FL161" s="31"/>
      <c r="FM161" s="31"/>
      <c r="FN161" s="31"/>
      <c r="FO161" s="31"/>
      <c r="FP161" s="31"/>
      <c r="FQ161" s="31"/>
      <c r="FR161" s="31"/>
      <c r="FS161" s="31"/>
      <c r="FT161" s="31"/>
      <c r="FU161" s="31"/>
      <c r="FV161" s="31"/>
      <c r="FW161" s="31"/>
      <c r="FX161" s="31"/>
      <c r="FY161" s="31"/>
      <c r="FZ161" s="31"/>
      <c r="GA161" s="31"/>
      <c r="GB161" s="31"/>
      <c r="GC161" s="31"/>
      <c r="GD161" s="31"/>
      <c r="GE161" s="31"/>
      <c r="GF161" s="31"/>
      <c r="GG161" s="31"/>
      <c r="GH161" s="31"/>
      <c r="GI161" s="31"/>
      <c r="GJ161" s="31"/>
      <c r="GK161" s="31"/>
      <c r="GL161" s="31"/>
      <c r="GM161" s="31"/>
      <c r="GN161" s="31"/>
      <c r="GO161" s="31"/>
      <c r="GP161" s="31"/>
      <c r="GQ161" s="31"/>
      <c r="GR161" s="31"/>
      <c r="GS161" s="31"/>
      <c r="GT161" s="31"/>
      <c r="GU161" s="31"/>
      <c r="GV161" s="31"/>
      <c r="GW161" s="31"/>
      <c r="GX161" s="31"/>
      <c r="GY161" s="31"/>
      <c r="GZ161" s="31"/>
      <c r="HA161" s="31"/>
      <c r="HB161" s="31"/>
      <c r="HC161" s="31"/>
      <c r="HD161" s="31"/>
    </row>
    <row r="162" spans="1:212" s="32" customFormat="1" x14ac:dyDescent="0.25">
      <c r="A162" s="123">
        <v>14501157</v>
      </c>
      <c r="B162" s="70" t="s">
        <v>223</v>
      </c>
      <c r="C162" s="70" t="s">
        <v>269</v>
      </c>
      <c r="D162" s="114"/>
      <c r="E162" s="122" t="s">
        <v>77</v>
      </c>
      <c r="F162" s="70"/>
      <c r="G162" s="70"/>
      <c r="H162" s="115" t="s">
        <v>219</v>
      </c>
      <c r="I162" s="70"/>
      <c r="J162" s="70"/>
      <c r="K162" s="117"/>
      <c r="L162" s="31"/>
      <c r="M162" s="31"/>
      <c r="N162" s="12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  <c r="BS162" s="31"/>
      <c r="BT162" s="31"/>
      <c r="BU162" s="31"/>
      <c r="BV162" s="31"/>
      <c r="BW162" s="31"/>
      <c r="BX162" s="31"/>
      <c r="BY162" s="31"/>
      <c r="BZ162" s="31"/>
      <c r="CA162" s="31"/>
      <c r="CB162" s="31"/>
      <c r="CC162" s="31"/>
      <c r="CD162" s="31"/>
      <c r="CE162" s="31"/>
      <c r="CF162" s="31"/>
      <c r="CG162" s="31"/>
      <c r="CH162" s="31"/>
      <c r="CI162" s="31"/>
      <c r="CJ162" s="31"/>
      <c r="CK162" s="31"/>
      <c r="CL162" s="31"/>
      <c r="CM162" s="31"/>
      <c r="CN162" s="31"/>
      <c r="CO162" s="31"/>
      <c r="CP162" s="31"/>
      <c r="CQ162" s="31"/>
      <c r="CR162" s="31"/>
      <c r="CS162" s="31"/>
      <c r="CT162" s="31"/>
      <c r="CU162" s="31"/>
      <c r="CV162" s="31"/>
      <c r="CW162" s="31"/>
      <c r="CX162" s="31"/>
      <c r="CY162" s="31"/>
      <c r="CZ162" s="31"/>
      <c r="DA162" s="31"/>
      <c r="DB162" s="31"/>
      <c r="DC162" s="31"/>
      <c r="DD162" s="31"/>
      <c r="DE162" s="31"/>
      <c r="DF162" s="31"/>
      <c r="DG162" s="31"/>
      <c r="DH162" s="31"/>
      <c r="DI162" s="31"/>
      <c r="DJ162" s="31"/>
      <c r="DK162" s="31"/>
      <c r="DL162" s="31"/>
      <c r="DM162" s="31"/>
      <c r="DN162" s="31"/>
      <c r="DO162" s="31"/>
      <c r="DP162" s="31"/>
      <c r="DQ162" s="31"/>
      <c r="DR162" s="31"/>
      <c r="DS162" s="31"/>
      <c r="DT162" s="31"/>
      <c r="DU162" s="31"/>
      <c r="DV162" s="31"/>
      <c r="DW162" s="31"/>
      <c r="DX162" s="31"/>
      <c r="DY162" s="31"/>
      <c r="DZ162" s="31"/>
      <c r="EA162" s="31"/>
      <c r="EB162" s="31"/>
      <c r="EC162" s="31"/>
      <c r="ED162" s="31"/>
      <c r="EE162" s="31"/>
      <c r="EF162" s="31"/>
      <c r="EG162" s="31"/>
      <c r="EH162" s="31"/>
      <c r="EI162" s="31"/>
      <c r="EJ162" s="31"/>
      <c r="EK162" s="31"/>
      <c r="EL162" s="31"/>
      <c r="EM162" s="31"/>
      <c r="EN162" s="31"/>
      <c r="EO162" s="31"/>
      <c r="EP162" s="31"/>
      <c r="EQ162" s="31"/>
      <c r="ER162" s="31"/>
      <c r="ES162" s="31"/>
      <c r="ET162" s="31"/>
      <c r="EU162" s="31"/>
      <c r="EV162" s="31"/>
      <c r="EW162" s="31"/>
      <c r="EX162" s="31"/>
      <c r="EY162" s="31"/>
      <c r="EZ162" s="31"/>
      <c r="FA162" s="31"/>
      <c r="FB162" s="31"/>
      <c r="FC162" s="31"/>
      <c r="FD162" s="31"/>
      <c r="FE162" s="31"/>
      <c r="FF162" s="31"/>
      <c r="FG162" s="31"/>
      <c r="FH162" s="31"/>
      <c r="FI162" s="31"/>
      <c r="FJ162" s="31"/>
      <c r="FK162" s="31"/>
      <c r="FL162" s="31"/>
      <c r="FM162" s="31"/>
      <c r="FN162" s="31"/>
      <c r="FO162" s="31"/>
      <c r="FP162" s="31"/>
      <c r="FQ162" s="31"/>
      <c r="FR162" s="31"/>
      <c r="FS162" s="31"/>
      <c r="FT162" s="31"/>
      <c r="FU162" s="31"/>
      <c r="FV162" s="31"/>
      <c r="FW162" s="31"/>
      <c r="FX162" s="31"/>
      <c r="FY162" s="31"/>
      <c r="FZ162" s="31"/>
      <c r="GA162" s="31"/>
      <c r="GB162" s="31"/>
      <c r="GC162" s="31"/>
      <c r="GD162" s="31"/>
      <c r="GE162" s="31"/>
      <c r="GF162" s="31"/>
      <c r="GG162" s="31"/>
      <c r="GH162" s="31"/>
      <c r="GI162" s="31"/>
      <c r="GJ162" s="31"/>
      <c r="GK162" s="31"/>
      <c r="GL162" s="31"/>
      <c r="GM162" s="31"/>
      <c r="GN162" s="31"/>
      <c r="GO162" s="31"/>
      <c r="GP162" s="31"/>
      <c r="GQ162" s="31"/>
      <c r="GR162" s="31"/>
      <c r="GS162" s="31"/>
      <c r="GT162" s="31"/>
      <c r="GU162" s="31"/>
      <c r="GV162" s="31"/>
      <c r="GW162" s="31"/>
      <c r="GX162" s="31"/>
      <c r="GY162" s="31"/>
      <c r="GZ162" s="31"/>
      <c r="HA162" s="31"/>
      <c r="HB162" s="31"/>
      <c r="HC162" s="31"/>
      <c r="HD162" s="31"/>
    </row>
    <row r="163" spans="1:212" x14ac:dyDescent="0.25">
      <c r="A163" s="123">
        <v>14501158</v>
      </c>
      <c r="B163" s="70" t="s">
        <v>224</v>
      </c>
      <c r="C163" s="70" t="s">
        <v>269</v>
      </c>
      <c r="D163" s="114"/>
      <c r="E163" s="115" t="s">
        <v>77</v>
      </c>
      <c r="F163" s="70"/>
      <c r="G163" s="70"/>
      <c r="H163" s="115" t="s">
        <v>249</v>
      </c>
      <c r="I163" s="70"/>
      <c r="J163" s="70"/>
      <c r="K163" s="117"/>
      <c r="L163" s="31"/>
      <c r="M163" s="31"/>
      <c r="N163" s="12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/>
      <c r="CF163" s="31"/>
      <c r="CG163" s="31"/>
      <c r="CH163" s="31"/>
      <c r="CI163" s="31"/>
      <c r="CJ163" s="31"/>
      <c r="CK163" s="31"/>
      <c r="CL163" s="31"/>
      <c r="CM163" s="31"/>
      <c r="CN163" s="31"/>
      <c r="CO163" s="31"/>
      <c r="CP163" s="31"/>
      <c r="CQ163" s="31"/>
      <c r="CR163" s="31"/>
      <c r="CS163" s="31"/>
      <c r="CT163" s="31"/>
      <c r="CU163" s="31"/>
      <c r="CV163" s="31"/>
      <c r="CW163" s="31"/>
      <c r="CX163" s="31"/>
      <c r="CY163" s="31"/>
      <c r="CZ163" s="31"/>
      <c r="DA163" s="31"/>
      <c r="DB163" s="31"/>
      <c r="DC163" s="31"/>
      <c r="DD163" s="31"/>
      <c r="DE163" s="31"/>
      <c r="DF163" s="31"/>
      <c r="DG163" s="31"/>
      <c r="DH163" s="31"/>
      <c r="DI163" s="31"/>
      <c r="DJ163" s="31"/>
      <c r="DK163" s="31"/>
      <c r="DL163" s="31"/>
      <c r="DM163" s="31"/>
      <c r="DN163" s="31"/>
      <c r="DO163" s="31"/>
      <c r="DP163" s="31"/>
      <c r="DQ163" s="31"/>
      <c r="DR163" s="31"/>
      <c r="DS163" s="31"/>
      <c r="DT163" s="31"/>
      <c r="DU163" s="31"/>
      <c r="DV163" s="31"/>
      <c r="DW163" s="31"/>
      <c r="DX163" s="31"/>
      <c r="DY163" s="31"/>
      <c r="DZ163" s="31"/>
      <c r="EA163" s="31"/>
      <c r="EB163" s="31"/>
      <c r="EC163" s="31"/>
      <c r="ED163" s="31"/>
      <c r="EE163" s="31"/>
      <c r="EF163" s="31"/>
      <c r="EG163" s="31"/>
      <c r="EH163" s="31"/>
      <c r="EI163" s="31"/>
      <c r="EJ163" s="31"/>
      <c r="EK163" s="31"/>
      <c r="EL163" s="31"/>
      <c r="EM163" s="31"/>
      <c r="EN163" s="31"/>
      <c r="EO163" s="31"/>
      <c r="EP163" s="31"/>
      <c r="EQ163" s="31"/>
      <c r="ER163" s="31"/>
      <c r="ES163" s="31"/>
      <c r="ET163" s="31"/>
      <c r="EU163" s="31"/>
      <c r="EV163" s="31"/>
      <c r="EW163" s="31"/>
      <c r="EX163" s="31"/>
      <c r="EY163" s="31"/>
      <c r="EZ163" s="31"/>
      <c r="FA163" s="31"/>
      <c r="FB163" s="31"/>
      <c r="FC163" s="31"/>
      <c r="FD163" s="31"/>
      <c r="FE163" s="31"/>
      <c r="FF163" s="31"/>
      <c r="FG163" s="31"/>
      <c r="FH163" s="31"/>
      <c r="FI163" s="31"/>
      <c r="FJ163" s="31"/>
      <c r="FK163" s="31"/>
      <c r="FL163" s="31"/>
      <c r="FM163" s="31"/>
      <c r="FN163" s="31"/>
      <c r="FO163" s="31"/>
      <c r="FP163" s="31"/>
      <c r="FQ163" s="31"/>
      <c r="FR163" s="31"/>
      <c r="FS163" s="31"/>
      <c r="FT163" s="31"/>
      <c r="FU163" s="31"/>
      <c r="FV163" s="31"/>
      <c r="FW163" s="31"/>
      <c r="FX163" s="31"/>
      <c r="FY163" s="31"/>
      <c r="FZ163" s="31"/>
      <c r="GA163" s="31"/>
      <c r="GB163" s="31"/>
      <c r="GC163" s="31"/>
      <c r="GD163" s="31"/>
      <c r="GE163" s="31"/>
      <c r="GF163" s="31"/>
      <c r="GG163" s="31"/>
      <c r="GH163" s="31"/>
      <c r="GI163" s="31"/>
      <c r="GJ163" s="31"/>
      <c r="GK163" s="31"/>
      <c r="GL163" s="31"/>
      <c r="GM163" s="31"/>
      <c r="GN163" s="31"/>
      <c r="GO163" s="31"/>
      <c r="GP163" s="31"/>
      <c r="GQ163" s="31"/>
      <c r="GR163" s="31"/>
      <c r="GS163" s="31"/>
      <c r="GT163" s="31"/>
      <c r="GU163" s="31"/>
      <c r="GV163" s="31"/>
      <c r="GW163" s="31"/>
      <c r="GX163" s="31"/>
      <c r="GY163" s="31"/>
      <c r="GZ163" s="31"/>
      <c r="HA163" s="31"/>
      <c r="HB163" s="31"/>
      <c r="HC163" s="31"/>
      <c r="HD163" s="31"/>
    </row>
    <row r="164" spans="1:212" s="32" customFormat="1" x14ac:dyDescent="0.25">
      <c r="A164" s="123">
        <v>14501159</v>
      </c>
      <c r="B164" s="70" t="s">
        <v>225</v>
      </c>
      <c r="C164" s="70" t="s">
        <v>269</v>
      </c>
      <c r="D164" s="114"/>
      <c r="E164" s="115" t="s">
        <v>78</v>
      </c>
      <c r="F164" s="70"/>
      <c r="G164" s="70"/>
      <c r="H164" s="115" t="s">
        <v>249</v>
      </c>
      <c r="I164" s="70"/>
      <c r="J164" s="70"/>
      <c r="K164" s="117"/>
      <c r="L164" s="31"/>
      <c r="M164" s="31"/>
      <c r="N164" s="12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  <c r="BS164" s="31"/>
      <c r="BT164" s="31"/>
      <c r="BU164" s="31"/>
      <c r="BV164" s="31"/>
      <c r="BW164" s="31"/>
      <c r="BX164" s="31"/>
      <c r="BY164" s="31"/>
      <c r="BZ164" s="31"/>
      <c r="CA164" s="31"/>
      <c r="CB164" s="31"/>
      <c r="CC164" s="31"/>
      <c r="CD164" s="31"/>
      <c r="CE164" s="31"/>
      <c r="CF164" s="31"/>
      <c r="CG164" s="31"/>
      <c r="CH164" s="31"/>
      <c r="CI164" s="31"/>
      <c r="CJ164" s="31"/>
      <c r="CK164" s="31"/>
      <c r="CL164" s="31"/>
      <c r="CM164" s="31"/>
      <c r="CN164" s="31"/>
      <c r="CO164" s="31"/>
      <c r="CP164" s="31"/>
      <c r="CQ164" s="31"/>
      <c r="CR164" s="31"/>
      <c r="CS164" s="31"/>
      <c r="CT164" s="31"/>
      <c r="CU164" s="31"/>
      <c r="CV164" s="31"/>
      <c r="CW164" s="31"/>
      <c r="CX164" s="31"/>
      <c r="CY164" s="31"/>
      <c r="CZ164" s="31"/>
      <c r="DA164" s="31"/>
      <c r="DB164" s="31"/>
      <c r="DC164" s="31"/>
      <c r="DD164" s="31"/>
      <c r="DE164" s="31"/>
      <c r="DF164" s="31"/>
      <c r="DG164" s="31"/>
      <c r="DH164" s="31"/>
      <c r="DI164" s="31"/>
      <c r="DJ164" s="31"/>
      <c r="DK164" s="31"/>
      <c r="DL164" s="31"/>
      <c r="DM164" s="31"/>
      <c r="DN164" s="31"/>
      <c r="DO164" s="31"/>
      <c r="DP164" s="31"/>
      <c r="DQ164" s="31"/>
      <c r="DR164" s="31"/>
      <c r="DS164" s="31"/>
      <c r="DT164" s="31"/>
      <c r="DU164" s="31"/>
      <c r="DV164" s="31"/>
      <c r="DW164" s="31"/>
      <c r="DX164" s="31"/>
      <c r="DY164" s="31"/>
      <c r="DZ164" s="31"/>
      <c r="EA164" s="31"/>
      <c r="EB164" s="31"/>
      <c r="EC164" s="31"/>
      <c r="ED164" s="31"/>
      <c r="EE164" s="31"/>
      <c r="EF164" s="31"/>
      <c r="EG164" s="31"/>
      <c r="EH164" s="31"/>
      <c r="EI164" s="31"/>
      <c r="EJ164" s="31"/>
      <c r="EK164" s="31"/>
      <c r="EL164" s="31"/>
      <c r="EM164" s="31"/>
      <c r="EN164" s="31"/>
      <c r="EO164" s="31"/>
      <c r="EP164" s="31"/>
      <c r="EQ164" s="31"/>
      <c r="ER164" s="31"/>
      <c r="ES164" s="31"/>
      <c r="ET164" s="31"/>
      <c r="EU164" s="31"/>
      <c r="EV164" s="31"/>
      <c r="EW164" s="31"/>
      <c r="EX164" s="31"/>
      <c r="EY164" s="31"/>
      <c r="EZ164" s="31"/>
      <c r="FA164" s="31"/>
      <c r="FB164" s="31"/>
      <c r="FC164" s="31"/>
      <c r="FD164" s="31"/>
      <c r="FE164" s="31"/>
      <c r="FF164" s="31"/>
      <c r="FG164" s="31"/>
      <c r="FH164" s="31"/>
      <c r="FI164" s="31"/>
      <c r="FJ164" s="31"/>
      <c r="FK164" s="31"/>
      <c r="FL164" s="31"/>
      <c r="FM164" s="31"/>
      <c r="FN164" s="31"/>
      <c r="FO164" s="31"/>
      <c r="FP164" s="31"/>
      <c r="FQ164" s="31"/>
      <c r="FR164" s="31"/>
      <c r="FS164" s="31"/>
      <c r="FT164" s="31"/>
      <c r="FU164" s="31"/>
      <c r="FV164" s="31"/>
      <c r="FW164" s="31"/>
      <c r="FX164" s="31"/>
      <c r="FY164" s="31"/>
      <c r="FZ164" s="31"/>
      <c r="GA164" s="31"/>
      <c r="GB164" s="31"/>
      <c r="GC164" s="31"/>
      <c r="GD164" s="31"/>
      <c r="GE164" s="31"/>
      <c r="GF164" s="31"/>
      <c r="GG164" s="31"/>
      <c r="GH164" s="31"/>
      <c r="GI164" s="31"/>
      <c r="GJ164" s="31"/>
      <c r="GK164" s="31"/>
      <c r="GL164" s="31"/>
      <c r="GM164" s="31"/>
      <c r="GN164" s="31"/>
      <c r="GO164" s="31"/>
      <c r="GP164" s="31"/>
      <c r="GQ164" s="31"/>
      <c r="GR164" s="31"/>
      <c r="GS164" s="31"/>
      <c r="GT164" s="31"/>
      <c r="GU164" s="31"/>
      <c r="GV164" s="31"/>
      <c r="GW164" s="31"/>
      <c r="GX164" s="31"/>
      <c r="GY164" s="31"/>
      <c r="GZ164" s="31"/>
      <c r="HA164" s="31"/>
      <c r="HB164" s="31"/>
      <c r="HC164" s="31"/>
      <c r="HD164" s="31"/>
    </row>
    <row r="165" spans="1:212" x14ac:dyDescent="0.25">
      <c r="A165" s="123">
        <v>14501160</v>
      </c>
      <c r="B165" s="70" t="s">
        <v>226</v>
      </c>
      <c r="C165" s="70" t="s">
        <v>269</v>
      </c>
      <c r="D165" s="114"/>
      <c r="E165" s="115" t="s">
        <v>77</v>
      </c>
      <c r="F165" s="70"/>
      <c r="G165" s="70"/>
      <c r="H165" s="115" t="s">
        <v>249</v>
      </c>
      <c r="I165" s="70"/>
      <c r="J165" s="70"/>
      <c r="K165" s="117"/>
      <c r="L165" s="31"/>
      <c r="M165" s="31"/>
      <c r="N165" s="12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  <c r="BS165" s="31"/>
      <c r="BT165" s="31"/>
      <c r="BU165" s="31"/>
      <c r="BV165" s="31"/>
      <c r="BW165" s="31"/>
      <c r="BX165" s="31"/>
      <c r="BY165" s="31"/>
      <c r="BZ165" s="31"/>
      <c r="CA165" s="31"/>
      <c r="CB165" s="31"/>
      <c r="CC165" s="31"/>
      <c r="CD165" s="31"/>
      <c r="CE165" s="31"/>
      <c r="CF165" s="31"/>
      <c r="CG165" s="31"/>
      <c r="CH165" s="31"/>
      <c r="CI165" s="31"/>
      <c r="CJ165" s="31"/>
      <c r="CK165" s="31"/>
      <c r="CL165" s="31"/>
      <c r="CM165" s="31"/>
      <c r="CN165" s="31"/>
      <c r="CO165" s="31"/>
      <c r="CP165" s="31"/>
      <c r="CQ165" s="31"/>
      <c r="CR165" s="31"/>
      <c r="CS165" s="31"/>
      <c r="CT165" s="31"/>
      <c r="CU165" s="31"/>
      <c r="CV165" s="31"/>
      <c r="CW165" s="31"/>
      <c r="CX165" s="31"/>
      <c r="CY165" s="31"/>
      <c r="CZ165" s="31"/>
      <c r="DA165" s="31"/>
      <c r="DB165" s="31"/>
      <c r="DC165" s="31"/>
      <c r="DD165" s="31"/>
      <c r="DE165" s="31"/>
      <c r="DF165" s="31"/>
      <c r="DG165" s="31"/>
      <c r="DH165" s="31"/>
      <c r="DI165" s="31"/>
      <c r="DJ165" s="31"/>
      <c r="DK165" s="31"/>
      <c r="DL165" s="31"/>
      <c r="DM165" s="31"/>
      <c r="DN165" s="31"/>
      <c r="DO165" s="31"/>
      <c r="DP165" s="31"/>
      <c r="DQ165" s="31"/>
      <c r="DR165" s="31"/>
      <c r="DS165" s="31"/>
      <c r="DT165" s="31"/>
      <c r="DU165" s="31"/>
      <c r="DV165" s="31"/>
      <c r="DW165" s="31"/>
      <c r="DX165" s="31"/>
      <c r="DY165" s="31"/>
      <c r="DZ165" s="31"/>
      <c r="EA165" s="31"/>
      <c r="EB165" s="31"/>
      <c r="EC165" s="31"/>
      <c r="ED165" s="31"/>
      <c r="EE165" s="31"/>
      <c r="EF165" s="31"/>
      <c r="EG165" s="31"/>
      <c r="EH165" s="31"/>
      <c r="EI165" s="31"/>
      <c r="EJ165" s="31"/>
      <c r="EK165" s="31"/>
      <c r="EL165" s="31"/>
      <c r="EM165" s="31"/>
      <c r="EN165" s="31"/>
      <c r="EO165" s="31"/>
      <c r="EP165" s="31"/>
      <c r="EQ165" s="31"/>
      <c r="ER165" s="31"/>
      <c r="ES165" s="31"/>
      <c r="ET165" s="31"/>
      <c r="EU165" s="31"/>
      <c r="EV165" s="31"/>
      <c r="EW165" s="31"/>
      <c r="EX165" s="31"/>
      <c r="EY165" s="31"/>
      <c r="EZ165" s="31"/>
      <c r="FA165" s="31"/>
      <c r="FB165" s="31"/>
      <c r="FC165" s="31"/>
      <c r="FD165" s="31"/>
      <c r="FE165" s="31"/>
      <c r="FF165" s="31"/>
      <c r="FG165" s="31"/>
      <c r="FH165" s="31"/>
      <c r="FI165" s="31"/>
      <c r="FJ165" s="31"/>
      <c r="FK165" s="31"/>
      <c r="FL165" s="31"/>
      <c r="FM165" s="31"/>
      <c r="FN165" s="31"/>
      <c r="FO165" s="31"/>
      <c r="FP165" s="31"/>
      <c r="FQ165" s="31"/>
      <c r="FR165" s="31"/>
      <c r="FS165" s="31"/>
      <c r="FT165" s="31"/>
      <c r="FU165" s="31"/>
      <c r="FV165" s="31"/>
      <c r="FW165" s="31"/>
      <c r="FX165" s="31"/>
      <c r="FY165" s="31"/>
      <c r="FZ165" s="31"/>
      <c r="GA165" s="31"/>
      <c r="GB165" s="31"/>
      <c r="GC165" s="31"/>
      <c r="GD165" s="31"/>
      <c r="GE165" s="31"/>
      <c r="GF165" s="31"/>
      <c r="GG165" s="31"/>
      <c r="GH165" s="31"/>
      <c r="GI165" s="31"/>
      <c r="GJ165" s="31"/>
      <c r="GK165" s="31"/>
      <c r="GL165" s="31"/>
      <c r="GM165" s="31"/>
      <c r="GN165" s="31"/>
      <c r="GO165" s="31"/>
      <c r="GP165" s="31"/>
      <c r="GQ165" s="31"/>
      <c r="GR165" s="31"/>
      <c r="GS165" s="31"/>
      <c r="GT165" s="31"/>
      <c r="GU165" s="31"/>
      <c r="GV165" s="31"/>
      <c r="GW165" s="31"/>
      <c r="GX165" s="31"/>
      <c r="GY165" s="31"/>
      <c r="GZ165" s="31"/>
      <c r="HA165" s="31"/>
      <c r="HB165" s="31"/>
      <c r="HC165" s="31"/>
      <c r="HD165" s="31"/>
    </row>
    <row r="166" spans="1:212" s="32" customFormat="1" x14ac:dyDescent="0.25">
      <c r="A166" s="123">
        <v>14501161</v>
      </c>
      <c r="B166" s="70" t="s">
        <v>227</v>
      </c>
      <c r="C166" s="70" t="s">
        <v>269</v>
      </c>
      <c r="D166" s="114"/>
      <c r="E166" s="115" t="s">
        <v>78</v>
      </c>
      <c r="F166" s="70"/>
      <c r="G166" s="70"/>
      <c r="H166" s="115" t="s">
        <v>249</v>
      </c>
      <c r="I166" s="70"/>
      <c r="J166" s="70"/>
      <c r="K166" s="117"/>
      <c r="L166" s="31"/>
      <c r="M166" s="31"/>
      <c r="N166" s="12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  <c r="BS166" s="31"/>
      <c r="BT166" s="31"/>
      <c r="BU166" s="31"/>
      <c r="BV166" s="31"/>
      <c r="BW166" s="31"/>
      <c r="BX166" s="31"/>
      <c r="BY166" s="31"/>
      <c r="BZ166" s="31"/>
      <c r="CA166" s="31"/>
      <c r="CB166" s="31"/>
      <c r="CC166" s="31"/>
      <c r="CD166" s="31"/>
      <c r="CE166" s="31"/>
      <c r="CF166" s="31"/>
      <c r="CG166" s="31"/>
      <c r="CH166" s="31"/>
      <c r="CI166" s="31"/>
      <c r="CJ166" s="31"/>
      <c r="CK166" s="31"/>
      <c r="CL166" s="31"/>
      <c r="CM166" s="31"/>
      <c r="CN166" s="31"/>
      <c r="CO166" s="31"/>
      <c r="CP166" s="31"/>
      <c r="CQ166" s="31"/>
      <c r="CR166" s="31"/>
      <c r="CS166" s="31"/>
      <c r="CT166" s="31"/>
      <c r="CU166" s="31"/>
      <c r="CV166" s="31"/>
      <c r="CW166" s="31"/>
      <c r="CX166" s="31"/>
      <c r="CY166" s="31"/>
      <c r="CZ166" s="31"/>
      <c r="DA166" s="31"/>
      <c r="DB166" s="31"/>
      <c r="DC166" s="31"/>
      <c r="DD166" s="31"/>
      <c r="DE166" s="31"/>
      <c r="DF166" s="31"/>
      <c r="DG166" s="31"/>
      <c r="DH166" s="31"/>
      <c r="DI166" s="31"/>
      <c r="DJ166" s="31"/>
      <c r="DK166" s="31"/>
      <c r="DL166" s="31"/>
      <c r="DM166" s="31"/>
      <c r="DN166" s="31"/>
      <c r="DO166" s="31"/>
      <c r="DP166" s="31"/>
      <c r="DQ166" s="31"/>
      <c r="DR166" s="31"/>
      <c r="DS166" s="31"/>
      <c r="DT166" s="31"/>
      <c r="DU166" s="31"/>
      <c r="DV166" s="31"/>
      <c r="DW166" s="31"/>
      <c r="DX166" s="31"/>
      <c r="DY166" s="31"/>
      <c r="DZ166" s="31"/>
      <c r="EA166" s="31"/>
      <c r="EB166" s="31"/>
      <c r="EC166" s="31"/>
      <c r="ED166" s="31"/>
      <c r="EE166" s="31"/>
      <c r="EF166" s="31"/>
      <c r="EG166" s="31"/>
      <c r="EH166" s="31"/>
      <c r="EI166" s="31"/>
      <c r="EJ166" s="31"/>
      <c r="EK166" s="31"/>
      <c r="EL166" s="31"/>
      <c r="EM166" s="31"/>
      <c r="EN166" s="31"/>
      <c r="EO166" s="31"/>
      <c r="EP166" s="31"/>
      <c r="EQ166" s="31"/>
      <c r="ER166" s="31"/>
      <c r="ES166" s="31"/>
      <c r="ET166" s="31"/>
      <c r="EU166" s="31"/>
      <c r="EV166" s="31"/>
      <c r="EW166" s="31"/>
      <c r="EX166" s="31"/>
      <c r="EY166" s="31"/>
      <c r="EZ166" s="31"/>
      <c r="FA166" s="31"/>
      <c r="FB166" s="31"/>
      <c r="FC166" s="31"/>
      <c r="FD166" s="31"/>
      <c r="FE166" s="31"/>
      <c r="FF166" s="31"/>
      <c r="FG166" s="31"/>
      <c r="FH166" s="31"/>
      <c r="FI166" s="31"/>
      <c r="FJ166" s="31"/>
      <c r="FK166" s="31"/>
      <c r="FL166" s="31"/>
      <c r="FM166" s="31"/>
      <c r="FN166" s="31"/>
      <c r="FO166" s="31"/>
      <c r="FP166" s="31"/>
      <c r="FQ166" s="31"/>
      <c r="FR166" s="31"/>
      <c r="FS166" s="31"/>
      <c r="FT166" s="31"/>
      <c r="FU166" s="31"/>
      <c r="FV166" s="31"/>
      <c r="FW166" s="31"/>
      <c r="FX166" s="31"/>
      <c r="FY166" s="31"/>
      <c r="FZ166" s="31"/>
      <c r="GA166" s="31"/>
      <c r="GB166" s="31"/>
      <c r="GC166" s="31"/>
      <c r="GD166" s="31"/>
      <c r="GE166" s="31"/>
      <c r="GF166" s="31"/>
      <c r="GG166" s="31"/>
      <c r="GH166" s="31"/>
      <c r="GI166" s="31"/>
      <c r="GJ166" s="31"/>
      <c r="GK166" s="31"/>
      <c r="GL166" s="31"/>
      <c r="GM166" s="31"/>
      <c r="GN166" s="31"/>
      <c r="GO166" s="31"/>
      <c r="GP166" s="31"/>
      <c r="GQ166" s="31"/>
      <c r="GR166" s="31"/>
      <c r="GS166" s="31"/>
      <c r="GT166" s="31"/>
      <c r="GU166" s="31"/>
      <c r="GV166" s="31"/>
      <c r="GW166" s="31"/>
      <c r="GX166" s="31"/>
      <c r="GY166" s="31"/>
      <c r="GZ166" s="31"/>
      <c r="HA166" s="31"/>
      <c r="HB166" s="31"/>
      <c r="HC166" s="31"/>
      <c r="HD166" s="31"/>
    </row>
    <row r="167" spans="1:212" x14ac:dyDescent="0.25">
      <c r="A167" s="123">
        <v>14501162</v>
      </c>
      <c r="B167" s="70" t="s">
        <v>51</v>
      </c>
      <c r="C167" s="70" t="s">
        <v>269</v>
      </c>
      <c r="D167" s="114"/>
      <c r="E167" s="115" t="s">
        <v>77</v>
      </c>
      <c r="F167" s="70"/>
      <c r="G167" s="70"/>
      <c r="H167" s="115" t="s">
        <v>249</v>
      </c>
      <c r="I167" s="70"/>
      <c r="J167" s="70"/>
      <c r="K167" s="117"/>
      <c r="L167" s="31"/>
      <c r="M167" s="31"/>
      <c r="N167" s="12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  <c r="BS167" s="31"/>
      <c r="BT167" s="31"/>
      <c r="BU167" s="31"/>
      <c r="BV167" s="31"/>
      <c r="BW167" s="31"/>
      <c r="BX167" s="31"/>
      <c r="BY167" s="31"/>
      <c r="BZ167" s="31"/>
      <c r="CA167" s="31"/>
      <c r="CB167" s="31"/>
      <c r="CC167" s="31"/>
      <c r="CD167" s="31"/>
      <c r="CE167" s="31"/>
      <c r="CF167" s="31"/>
      <c r="CG167" s="31"/>
      <c r="CH167" s="31"/>
      <c r="CI167" s="31"/>
      <c r="CJ167" s="31"/>
      <c r="CK167" s="31"/>
      <c r="CL167" s="31"/>
      <c r="CM167" s="31"/>
      <c r="CN167" s="31"/>
      <c r="CO167" s="31"/>
      <c r="CP167" s="31"/>
      <c r="CQ167" s="31"/>
      <c r="CR167" s="31"/>
      <c r="CS167" s="31"/>
      <c r="CT167" s="31"/>
      <c r="CU167" s="31"/>
      <c r="CV167" s="31"/>
      <c r="CW167" s="31"/>
      <c r="CX167" s="31"/>
      <c r="CY167" s="31"/>
      <c r="CZ167" s="31"/>
      <c r="DA167" s="31"/>
      <c r="DB167" s="31"/>
      <c r="DC167" s="31"/>
      <c r="DD167" s="31"/>
      <c r="DE167" s="31"/>
      <c r="DF167" s="31"/>
      <c r="DG167" s="31"/>
      <c r="DH167" s="31"/>
      <c r="DI167" s="31"/>
      <c r="DJ167" s="31"/>
      <c r="DK167" s="31"/>
      <c r="DL167" s="31"/>
      <c r="DM167" s="31"/>
      <c r="DN167" s="31"/>
      <c r="DO167" s="31"/>
      <c r="DP167" s="31"/>
      <c r="DQ167" s="31"/>
      <c r="DR167" s="31"/>
      <c r="DS167" s="31"/>
      <c r="DT167" s="31"/>
      <c r="DU167" s="31"/>
      <c r="DV167" s="31"/>
      <c r="DW167" s="31"/>
      <c r="DX167" s="31"/>
      <c r="DY167" s="31"/>
      <c r="DZ167" s="31"/>
      <c r="EA167" s="31"/>
      <c r="EB167" s="31"/>
      <c r="EC167" s="31"/>
      <c r="ED167" s="31"/>
      <c r="EE167" s="31"/>
      <c r="EF167" s="31"/>
      <c r="EG167" s="31"/>
      <c r="EH167" s="31"/>
      <c r="EI167" s="31"/>
      <c r="EJ167" s="31"/>
      <c r="EK167" s="31"/>
      <c r="EL167" s="31"/>
      <c r="EM167" s="31"/>
      <c r="EN167" s="31"/>
      <c r="EO167" s="31"/>
      <c r="EP167" s="31"/>
      <c r="EQ167" s="31"/>
      <c r="ER167" s="31"/>
      <c r="ES167" s="31"/>
      <c r="ET167" s="31"/>
      <c r="EU167" s="31"/>
      <c r="EV167" s="31"/>
      <c r="EW167" s="31"/>
      <c r="EX167" s="31"/>
      <c r="EY167" s="31"/>
      <c r="EZ167" s="31"/>
      <c r="FA167" s="31"/>
      <c r="FB167" s="31"/>
      <c r="FC167" s="31"/>
      <c r="FD167" s="31"/>
      <c r="FE167" s="31"/>
      <c r="FF167" s="31"/>
      <c r="FG167" s="31"/>
      <c r="FH167" s="31"/>
      <c r="FI167" s="31"/>
      <c r="FJ167" s="31"/>
      <c r="FK167" s="31"/>
      <c r="FL167" s="31"/>
      <c r="FM167" s="31"/>
      <c r="FN167" s="31"/>
      <c r="FO167" s="31"/>
      <c r="FP167" s="31"/>
      <c r="FQ167" s="31"/>
      <c r="FR167" s="31"/>
      <c r="FS167" s="31"/>
      <c r="FT167" s="31"/>
      <c r="FU167" s="31"/>
      <c r="FV167" s="31"/>
      <c r="FW167" s="31"/>
      <c r="FX167" s="31"/>
      <c r="FY167" s="31"/>
      <c r="FZ167" s="31"/>
      <c r="GA167" s="31"/>
      <c r="GB167" s="31"/>
      <c r="GC167" s="31"/>
      <c r="GD167" s="31"/>
      <c r="GE167" s="31"/>
      <c r="GF167" s="31"/>
      <c r="GG167" s="31"/>
      <c r="GH167" s="31"/>
      <c r="GI167" s="31"/>
      <c r="GJ167" s="31"/>
      <c r="GK167" s="31"/>
      <c r="GL167" s="31"/>
      <c r="GM167" s="31"/>
      <c r="GN167" s="31"/>
      <c r="GO167" s="31"/>
      <c r="GP167" s="31"/>
      <c r="GQ167" s="31"/>
      <c r="GR167" s="31"/>
      <c r="GS167" s="31"/>
      <c r="GT167" s="31"/>
      <c r="GU167" s="31"/>
      <c r="GV167" s="31"/>
      <c r="GW167" s="31"/>
      <c r="GX167" s="31"/>
      <c r="GY167" s="31"/>
      <c r="GZ167" s="31"/>
      <c r="HA167" s="31"/>
      <c r="HB167" s="31"/>
      <c r="HC167" s="31"/>
      <c r="HD167" s="31"/>
    </row>
    <row r="168" spans="1:212" s="32" customFormat="1" x14ac:dyDescent="0.25">
      <c r="A168" s="123">
        <v>14501163</v>
      </c>
      <c r="B168" s="70" t="s">
        <v>228</v>
      </c>
      <c r="C168" s="70" t="s">
        <v>269</v>
      </c>
      <c r="D168" s="114"/>
      <c r="E168" s="115" t="s">
        <v>77</v>
      </c>
      <c r="F168" s="70"/>
      <c r="G168" s="70"/>
      <c r="H168" s="115" t="s">
        <v>249</v>
      </c>
      <c r="I168" s="70"/>
      <c r="J168" s="70"/>
      <c r="K168" s="117"/>
      <c r="L168" s="31"/>
      <c r="M168" s="31"/>
      <c r="N168" s="12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  <c r="BS168" s="31"/>
      <c r="BT168" s="31"/>
      <c r="BU168" s="31"/>
      <c r="BV168" s="31"/>
      <c r="BW168" s="31"/>
      <c r="BX168" s="31"/>
      <c r="BY168" s="31"/>
      <c r="BZ168" s="31"/>
      <c r="CA168" s="31"/>
      <c r="CB168" s="31"/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  <c r="CN168" s="31"/>
      <c r="CO168" s="31"/>
      <c r="CP168" s="31"/>
      <c r="CQ168" s="31"/>
      <c r="CR168" s="31"/>
      <c r="CS168" s="31"/>
      <c r="CT168" s="31"/>
      <c r="CU168" s="31"/>
      <c r="CV168" s="31"/>
      <c r="CW168" s="31"/>
      <c r="CX168" s="31"/>
      <c r="CY168" s="31"/>
      <c r="CZ168" s="31"/>
      <c r="DA168" s="31"/>
      <c r="DB168" s="31"/>
      <c r="DC168" s="31"/>
      <c r="DD168" s="31"/>
      <c r="DE168" s="31"/>
      <c r="DF168" s="31"/>
      <c r="DG168" s="31"/>
      <c r="DH168" s="31"/>
      <c r="DI168" s="31"/>
      <c r="DJ168" s="31"/>
      <c r="DK168" s="31"/>
      <c r="DL168" s="31"/>
      <c r="DM168" s="31"/>
      <c r="DN168" s="31"/>
      <c r="DO168" s="31"/>
      <c r="DP168" s="31"/>
      <c r="DQ168" s="31"/>
      <c r="DR168" s="31"/>
      <c r="DS168" s="31"/>
      <c r="DT168" s="31"/>
      <c r="DU168" s="31"/>
      <c r="DV168" s="31"/>
      <c r="DW168" s="31"/>
      <c r="DX168" s="31"/>
      <c r="DY168" s="31"/>
      <c r="DZ168" s="31"/>
      <c r="EA168" s="31"/>
      <c r="EB168" s="31"/>
      <c r="EC168" s="31"/>
      <c r="ED168" s="31"/>
      <c r="EE168" s="31"/>
      <c r="EF168" s="31"/>
      <c r="EG168" s="31"/>
      <c r="EH168" s="31"/>
      <c r="EI168" s="31"/>
      <c r="EJ168" s="31"/>
      <c r="EK168" s="31"/>
      <c r="EL168" s="31"/>
      <c r="EM168" s="31"/>
      <c r="EN168" s="31"/>
      <c r="EO168" s="31"/>
      <c r="EP168" s="31"/>
      <c r="EQ168" s="31"/>
      <c r="ER168" s="31"/>
      <c r="ES168" s="31"/>
      <c r="ET168" s="31"/>
      <c r="EU168" s="31"/>
      <c r="EV168" s="31"/>
      <c r="EW168" s="31"/>
      <c r="EX168" s="31"/>
      <c r="EY168" s="31"/>
      <c r="EZ168" s="31"/>
      <c r="FA168" s="31"/>
      <c r="FB168" s="31"/>
      <c r="FC168" s="31"/>
      <c r="FD168" s="31"/>
      <c r="FE168" s="31"/>
      <c r="FF168" s="31"/>
      <c r="FG168" s="31"/>
      <c r="FH168" s="31"/>
      <c r="FI168" s="31"/>
      <c r="FJ168" s="31"/>
      <c r="FK168" s="31"/>
      <c r="FL168" s="31"/>
      <c r="FM168" s="31"/>
      <c r="FN168" s="31"/>
      <c r="FO168" s="31"/>
      <c r="FP168" s="31"/>
      <c r="FQ168" s="31"/>
      <c r="FR168" s="31"/>
      <c r="FS168" s="31"/>
      <c r="FT168" s="31"/>
      <c r="FU168" s="31"/>
      <c r="FV168" s="31"/>
      <c r="FW168" s="31"/>
      <c r="FX168" s="31"/>
      <c r="FY168" s="31"/>
      <c r="FZ168" s="31"/>
      <c r="GA168" s="31"/>
      <c r="GB168" s="31"/>
      <c r="GC168" s="31"/>
      <c r="GD168" s="31"/>
      <c r="GE168" s="31"/>
      <c r="GF168" s="31"/>
      <c r="GG168" s="31"/>
      <c r="GH168" s="31"/>
      <c r="GI168" s="31"/>
      <c r="GJ168" s="31"/>
      <c r="GK168" s="31"/>
      <c r="GL168" s="31"/>
      <c r="GM168" s="31"/>
      <c r="GN168" s="31"/>
      <c r="GO168" s="31"/>
      <c r="GP168" s="31"/>
      <c r="GQ168" s="31"/>
      <c r="GR168" s="31"/>
      <c r="GS168" s="31"/>
      <c r="GT168" s="31"/>
      <c r="GU168" s="31"/>
      <c r="GV168" s="31"/>
      <c r="GW168" s="31"/>
      <c r="GX168" s="31"/>
      <c r="GY168" s="31"/>
      <c r="GZ168" s="31"/>
      <c r="HA168" s="31"/>
      <c r="HB168" s="31"/>
      <c r="HC168" s="31"/>
      <c r="HD168" s="31"/>
    </row>
    <row r="169" spans="1:212" x14ac:dyDescent="0.25">
      <c r="A169" s="123">
        <v>14501164</v>
      </c>
      <c r="B169" s="70" t="s">
        <v>229</v>
      </c>
      <c r="C169" s="70" t="s">
        <v>269</v>
      </c>
      <c r="D169" s="114"/>
      <c r="E169" s="115" t="s">
        <v>77</v>
      </c>
      <c r="F169" s="70"/>
      <c r="G169" s="70"/>
      <c r="H169" s="115" t="s">
        <v>249</v>
      </c>
      <c r="I169" s="70"/>
      <c r="J169" s="70"/>
      <c r="K169" s="117"/>
      <c r="L169" s="31"/>
      <c r="M169" s="31"/>
      <c r="N169" s="12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  <c r="BS169" s="31"/>
      <c r="BT169" s="31"/>
      <c r="BU169" s="31"/>
      <c r="BV169" s="31"/>
      <c r="BW169" s="31"/>
      <c r="BX169" s="31"/>
      <c r="BY169" s="31"/>
      <c r="BZ169" s="31"/>
      <c r="CA169" s="31"/>
      <c r="CB169" s="31"/>
      <c r="CC169" s="31"/>
      <c r="CD169" s="31"/>
      <c r="CE169" s="31"/>
      <c r="CF169" s="31"/>
      <c r="CG169" s="31"/>
      <c r="CH169" s="31"/>
      <c r="CI169" s="31"/>
      <c r="CJ169" s="31"/>
      <c r="CK169" s="31"/>
      <c r="CL169" s="31"/>
      <c r="CM169" s="31"/>
      <c r="CN169" s="31"/>
      <c r="CO169" s="31"/>
      <c r="CP169" s="31"/>
      <c r="CQ169" s="31"/>
      <c r="CR169" s="31"/>
      <c r="CS169" s="31"/>
      <c r="CT169" s="31"/>
      <c r="CU169" s="31"/>
      <c r="CV169" s="31"/>
      <c r="CW169" s="31"/>
      <c r="CX169" s="31"/>
      <c r="CY169" s="31"/>
      <c r="CZ169" s="31"/>
      <c r="DA169" s="31"/>
      <c r="DB169" s="31"/>
      <c r="DC169" s="31"/>
      <c r="DD169" s="31"/>
      <c r="DE169" s="31"/>
      <c r="DF169" s="31"/>
      <c r="DG169" s="31"/>
      <c r="DH169" s="31"/>
      <c r="DI169" s="31"/>
      <c r="DJ169" s="31"/>
      <c r="DK169" s="31"/>
      <c r="DL169" s="31"/>
      <c r="DM169" s="31"/>
      <c r="DN169" s="31"/>
      <c r="DO169" s="31"/>
      <c r="DP169" s="31"/>
      <c r="DQ169" s="31"/>
      <c r="DR169" s="31"/>
      <c r="DS169" s="31"/>
      <c r="DT169" s="31"/>
      <c r="DU169" s="31"/>
      <c r="DV169" s="31"/>
      <c r="DW169" s="31"/>
      <c r="DX169" s="31"/>
      <c r="DY169" s="31"/>
      <c r="DZ169" s="31"/>
      <c r="EA169" s="31"/>
      <c r="EB169" s="31"/>
      <c r="EC169" s="31"/>
      <c r="ED169" s="31"/>
      <c r="EE169" s="31"/>
      <c r="EF169" s="31"/>
      <c r="EG169" s="31"/>
      <c r="EH169" s="31"/>
      <c r="EI169" s="31"/>
      <c r="EJ169" s="31"/>
      <c r="EK169" s="31"/>
      <c r="EL169" s="31"/>
      <c r="EM169" s="31"/>
      <c r="EN169" s="31"/>
      <c r="EO169" s="31"/>
      <c r="EP169" s="31"/>
      <c r="EQ169" s="31"/>
      <c r="ER169" s="31"/>
      <c r="ES169" s="31"/>
      <c r="ET169" s="31"/>
      <c r="EU169" s="31"/>
      <c r="EV169" s="31"/>
      <c r="EW169" s="31"/>
      <c r="EX169" s="31"/>
      <c r="EY169" s="31"/>
      <c r="EZ169" s="31"/>
      <c r="FA169" s="31"/>
      <c r="FB169" s="31"/>
      <c r="FC169" s="31"/>
      <c r="FD169" s="31"/>
      <c r="FE169" s="31"/>
      <c r="FF169" s="31"/>
      <c r="FG169" s="31"/>
      <c r="FH169" s="31"/>
      <c r="FI169" s="31"/>
      <c r="FJ169" s="31"/>
      <c r="FK169" s="31"/>
      <c r="FL169" s="31"/>
      <c r="FM169" s="31"/>
      <c r="FN169" s="31"/>
      <c r="FO169" s="31"/>
      <c r="FP169" s="31"/>
      <c r="FQ169" s="31"/>
      <c r="FR169" s="31"/>
      <c r="FS169" s="31"/>
      <c r="FT169" s="31"/>
      <c r="FU169" s="31"/>
      <c r="FV169" s="31"/>
      <c r="FW169" s="31"/>
      <c r="FX169" s="31"/>
      <c r="FY169" s="31"/>
      <c r="FZ169" s="31"/>
      <c r="GA169" s="31"/>
      <c r="GB169" s="31"/>
      <c r="GC169" s="31"/>
      <c r="GD169" s="31"/>
      <c r="GE169" s="31"/>
      <c r="GF169" s="31"/>
      <c r="GG169" s="31"/>
      <c r="GH169" s="31"/>
      <c r="GI169" s="31"/>
      <c r="GJ169" s="31"/>
      <c r="GK169" s="31"/>
      <c r="GL169" s="31"/>
      <c r="GM169" s="31"/>
      <c r="GN169" s="31"/>
      <c r="GO169" s="31"/>
      <c r="GP169" s="31"/>
      <c r="GQ169" s="31"/>
      <c r="GR169" s="31"/>
      <c r="GS169" s="31"/>
      <c r="GT169" s="31"/>
      <c r="GU169" s="31"/>
      <c r="GV169" s="31"/>
      <c r="GW169" s="31"/>
      <c r="GX169" s="31"/>
      <c r="GY169" s="31"/>
      <c r="GZ169" s="31"/>
      <c r="HA169" s="31"/>
      <c r="HB169" s="31"/>
      <c r="HC169" s="31"/>
      <c r="HD169" s="31"/>
    </row>
    <row r="170" spans="1:212" s="32" customFormat="1" x14ac:dyDescent="0.25">
      <c r="A170" s="123">
        <v>14501165</v>
      </c>
      <c r="B170" s="70" t="s">
        <v>230</v>
      </c>
      <c r="C170" s="70" t="s">
        <v>269</v>
      </c>
      <c r="D170" s="114"/>
      <c r="E170" s="115" t="s">
        <v>78</v>
      </c>
      <c r="F170" s="70"/>
      <c r="G170" s="70"/>
      <c r="H170" s="115" t="s">
        <v>249</v>
      </c>
      <c r="I170" s="70"/>
      <c r="J170" s="70"/>
      <c r="K170" s="117"/>
      <c r="L170" s="31"/>
      <c r="M170" s="31"/>
      <c r="N170" s="12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  <c r="CJ170" s="31"/>
      <c r="CK170" s="31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  <c r="CW170" s="31"/>
      <c r="CX170" s="31"/>
      <c r="CY170" s="31"/>
      <c r="CZ170" s="31"/>
      <c r="DA170" s="31"/>
      <c r="DB170" s="31"/>
      <c r="DC170" s="31"/>
      <c r="DD170" s="31"/>
      <c r="DE170" s="31"/>
      <c r="DF170" s="31"/>
      <c r="DG170" s="31"/>
      <c r="DH170" s="31"/>
      <c r="DI170" s="31"/>
      <c r="DJ170" s="31"/>
      <c r="DK170" s="31"/>
      <c r="DL170" s="31"/>
      <c r="DM170" s="31"/>
      <c r="DN170" s="31"/>
      <c r="DO170" s="31"/>
      <c r="DP170" s="31"/>
      <c r="DQ170" s="31"/>
      <c r="DR170" s="31"/>
      <c r="DS170" s="31"/>
      <c r="DT170" s="31"/>
      <c r="DU170" s="31"/>
      <c r="DV170" s="31"/>
      <c r="DW170" s="31"/>
      <c r="DX170" s="31"/>
      <c r="DY170" s="31"/>
      <c r="DZ170" s="31"/>
      <c r="EA170" s="31"/>
      <c r="EB170" s="31"/>
      <c r="EC170" s="31"/>
      <c r="ED170" s="31"/>
      <c r="EE170" s="31"/>
      <c r="EF170" s="31"/>
      <c r="EG170" s="31"/>
      <c r="EH170" s="31"/>
      <c r="EI170" s="31"/>
      <c r="EJ170" s="31"/>
      <c r="EK170" s="31"/>
      <c r="EL170" s="31"/>
      <c r="EM170" s="31"/>
      <c r="EN170" s="31"/>
      <c r="EO170" s="31"/>
      <c r="EP170" s="31"/>
      <c r="EQ170" s="31"/>
      <c r="ER170" s="31"/>
      <c r="ES170" s="31"/>
      <c r="ET170" s="31"/>
      <c r="EU170" s="31"/>
      <c r="EV170" s="31"/>
      <c r="EW170" s="31"/>
      <c r="EX170" s="31"/>
      <c r="EY170" s="31"/>
      <c r="EZ170" s="31"/>
      <c r="FA170" s="31"/>
      <c r="FB170" s="31"/>
      <c r="FC170" s="31"/>
      <c r="FD170" s="31"/>
      <c r="FE170" s="31"/>
      <c r="FF170" s="31"/>
      <c r="FG170" s="31"/>
      <c r="FH170" s="31"/>
      <c r="FI170" s="31"/>
      <c r="FJ170" s="31"/>
      <c r="FK170" s="31"/>
      <c r="FL170" s="31"/>
      <c r="FM170" s="31"/>
      <c r="FN170" s="31"/>
      <c r="FO170" s="31"/>
      <c r="FP170" s="31"/>
      <c r="FQ170" s="31"/>
      <c r="FR170" s="31"/>
      <c r="FS170" s="31"/>
      <c r="FT170" s="31"/>
      <c r="FU170" s="31"/>
      <c r="FV170" s="31"/>
      <c r="FW170" s="31"/>
      <c r="FX170" s="31"/>
      <c r="FY170" s="31"/>
      <c r="FZ170" s="31"/>
      <c r="GA170" s="31"/>
      <c r="GB170" s="31"/>
      <c r="GC170" s="31"/>
      <c r="GD170" s="31"/>
      <c r="GE170" s="31"/>
      <c r="GF170" s="31"/>
      <c r="GG170" s="31"/>
      <c r="GH170" s="31"/>
      <c r="GI170" s="31"/>
      <c r="GJ170" s="31"/>
      <c r="GK170" s="31"/>
      <c r="GL170" s="31"/>
      <c r="GM170" s="31"/>
      <c r="GN170" s="31"/>
      <c r="GO170" s="31"/>
      <c r="GP170" s="31"/>
      <c r="GQ170" s="31"/>
      <c r="GR170" s="31"/>
      <c r="GS170" s="31"/>
      <c r="GT170" s="31"/>
      <c r="GU170" s="31"/>
      <c r="GV170" s="31"/>
      <c r="GW170" s="31"/>
      <c r="GX170" s="31"/>
      <c r="GY170" s="31"/>
      <c r="GZ170" s="31"/>
      <c r="HA170" s="31"/>
      <c r="HB170" s="31"/>
      <c r="HC170" s="31"/>
      <c r="HD170" s="31"/>
    </row>
    <row r="171" spans="1:212" x14ac:dyDescent="0.25">
      <c r="A171" s="123">
        <v>14501166</v>
      </c>
      <c r="B171" s="70" t="s">
        <v>231</v>
      </c>
      <c r="C171" s="70" t="s">
        <v>269</v>
      </c>
      <c r="D171" s="114"/>
      <c r="E171" s="115" t="s">
        <v>77</v>
      </c>
      <c r="F171" s="70"/>
      <c r="G171" s="70"/>
      <c r="H171" s="115" t="s">
        <v>249</v>
      </c>
      <c r="I171" s="70"/>
      <c r="J171" s="70"/>
      <c r="K171" s="117"/>
      <c r="L171" s="31"/>
      <c r="M171" s="31"/>
      <c r="N171" s="12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  <c r="BS171" s="31"/>
      <c r="BT171" s="31"/>
      <c r="BU171" s="31"/>
      <c r="BV171" s="31"/>
      <c r="BW171" s="31"/>
      <c r="BX171" s="31"/>
      <c r="BY171" s="31"/>
      <c r="BZ171" s="31"/>
      <c r="CA171" s="31"/>
      <c r="CB171" s="31"/>
      <c r="CC171" s="31"/>
      <c r="CD171" s="31"/>
      <c r="CE171" s="31"/>
      <c r="CF171" s="31"/>
      <c r="CG171" s="31"/>
      <c r="CH171" s="31"/>
      <c r="CI171" s="31"/>
      <c r="CJ171" s="31"/>
      <c r="CK171" s="31"/>
      <c r="CL171" s="31"/>
      <c r="CM171" s="31"/>
      <c r="CN171" s="31"/>
      <c r="CO171" s="31"/>
      <c r="CP171" s="31"/>
      <c r="CQ171" s="31"/>
      <c r="CR171" s="31"/>
      <c r="CS171" s="31"/>
      <c r="CT171" s="31"/>
      <c r="CU171" s="31"/>
      <c r="CV171" s="31"/>
      <c r="CW171" s="31"/>
      <c r="CX171" s="31"/>
      <c r="CY171" s="31"/>
      <c r="CZ171" s="31"/>
      <c r="DA171" s="31"/>
      <c r="DB171" s="31"/>
      <c r="DC171" s="31"/>
      <c r="DD171" s="31"/>
      <c r="DE171" s="31"/>
      <c r="DF171" s="31"/>
      <c r="DG171" s="31"/>
      <c r="DH171" s="31"/>
      <c r="DI171" s="31"/>
      <c r="DJ171" s="31"/>
      <c r="DK171" s="31"/>
      <c r="DL171" s="31"/>
      <c r="DM171" s="31"/>
      <c r="DN171" s="31"/>
      <c r="DO171" s="31"/>
      <c r="DP171" s="31"/>
      <c r="DQ171" s="31"/>
      <c r="DR171" s="31"/>
      <c r="DS171" s="31"/>
      <c r="DT171" s="31"/>
      <c r="DU171" s="31"/>
      <c r="DV171" s="31"/>
      <c r="DW171" s="31"/>
      <c r="DX171" s="31"/>
      <c r="DY171" s="31"/>
      <c r="DZ171" s="31"/>
      <c r="EA171" s="31"/>
      <c r="EB171" s="31"/>
      <c r="EC171" s="31"/>
      <c r="ED171" s="31"/>
      <c r="EE171" s="31"/>
      <c r="EF171" s="31"/>
      <c r="EG171" s="31"/>
      <c r="EH171" s="31"/>
      <c r="EI171" s="31"/>
      <c r="EJ171" s="31"/>
      <c r="EK171" s="31"/>
      <c r="EL171" s="31"/>
      <c r="EM171" s="31"/>
      <c r="EN171" s="31"/>
      <c r="EO171" s="31"/>
      <c r="EP171" s="31"/>
      <c r="EQ171" s="31"/>
      <c r="ER171" s="31"/>
      <c r="ES171" s="31"/>
      <c r="ET171" s="31"/>
      <c r="EU171" s="31"/>
      <c r="EV171" s="31"/>
      <c r="EW171" s="31"/>
      <c r="EX171" s="31"/>
      <c r="EY171" s="31"/>
      <c r="EZ171" s="31"/>
      <c r="FA171" s="31"/>
      <c r="FB171" s="31"/>
      <c r="FC171" s="31"/>
      <c r="FD171" s="31"/>
      <c r="FE171" s="31"/>
      <c r="FF171" s="31"/>
      <c r="FG171" s="31"/>
      <c r="FH171" s="31"/>
      <c r="FI171" s="31"/>
      <c r="FJ171" s="31"/>
      <c r="FK171" s="31"/>
      <c r="FL171" s="31"/>
      <c r="FM171" s="31"/>
      <c r="FN171" s="31"/>
      <c r="FO171" s="31"/>
      <c r="FP171" s="31"/>
      <c r="FQ171" s="31"/>
      <c r="FR171" s="31"/>
      <c r="FS171" s="31"/>
      <c r="FT171" s="31"/>
      <c r="FU171" s="31"/>
      <c r="FV171" s="31"/>
      <c r="FW171" s="31"/>
      <c r="FX171" s="31"/>
      <c r="FY171" s="31"/>
      <c r="FZ171" s="31"/>
      <c r="GA171" s="31"/>
      <c r="GB171" s="31"/>
      <c r="GC171" s="31"/>
      <c r="GD171" s="31"/>
      <c r="GE171" s="31"/>
      <c r="GF171" s="31"/>
      <c r="GG171" s="31"/>
      <c r="GH171" s="31"/>
      <c r="GI171" s="31"/>
      <c r="GJ171" s="31"/>
      <c r="GK171" s="31"/>
      <c r="GL171" s="31"/>
      <c r="GM171" s="31"/>
      <c r="GN171" s="31"/>
      <c r="GO171" s="31"/>
      <c r="GP171" s="31"/>
      <c r="GQ171" s="31"/>
      <c r="GR171" s="31"/>
      <c r="GS171" s="31"/>
      <c r="GT171" s="31"/>
      <c r="GU171" s="31"/>
      <c r="GV171" s="31"/>
      <c r="GW171" s="31"/>
      <c r="GX171" s="31"/>
      <c r="GY171" s="31"/>
      <c r="GZ171" s="31"/>
      <c r="HA171" s="31"/>
      <c r="HB171" s="31"/>
      <c r="HC171" s="31"/>
      <c r="HD171" s="31"/>
    </row>
    <row r="172" spans="1:212" s="32" customFormat="1" x14ac:dyDescent="0.25">
      <c r="A172" s="123">
        <v>14501167</v>
      </c>
      <c r="B172" s="70" t="s">
        <v>232</v>
      </c>
      <c r="C172" s="70" t="s">
        <v>269</v>
      </c>
      <c r="D172" s="114"/>
      <c r="E172" s="115" t="s">
        <v>78</v>
      </c>
      <c r="F172" s="70"/>
      <c r="G172" s="70"/>
      <c r="H172" s="115" t="s">
        <v>249</v>
      </c>
      <c r="I172" s="70"/>
      <c r="J172" s="70"/>
      <c r="K172" s="117"/>
      <c r="L172" s="31"/>
      <c r="M172" s="31"/>
      <c r="N172" s="12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  <c r="BS172" s="31"/>
      <c r="BT172" s="31"/>
      <c r="BU172" s="31"/>
      <c r="BV172" s="31"/>
      <c r="BW172" s="31"/>
      <c r="BX172" s="31"/>
      <c r="BY172" s="31"/>
      <c r="BZ172" s="31"/>
      <c r="CA172" s="31"/>
      <c r="CB172" s="31"/>
      <c r="CC172" s="31"/>
      <c r="CD172" s="31"/>
      <c r="CE172" s="31"/>
      <c r="CF172" s="31"/>
      <c r="CG172" s="31"/>
      <c r="CH172" s="31"/>
      <c r="CI172" s="31"/>
      <c r="CJ172" s="31"/>
      <c r="CK172" s="31"/>
      <c r="CL172" s="31"/>
      <c r="CM172" s="31"/>
      <c r="CN172" s="31"/>
      <c r="CO172" s="31"/>
      <c r="CP172" s="31"/>
      <c r="CQ172" s="31"/>
      <c r="CR172" s="31"/>
      <c r="CS172" s="31"/>
      <c r="CT172" s="31"/>
      <c r="CU172" s="31"/>
      <c r="CV172" s="31"/>
      <c r="CW172" s="31"/>
      <c r="CX172" s="31"/>
      <c r="CY172" s="31"/>
      <c r="CZ172" s="31"/>
      <c r="DA172" s="31"/>
      <c r="DB172" s="31"/>
      <c r="DC172" s="31"/>
      <c r="DD172" s="31"/>
      <c r="DE172" s="31"/>
      <c r="DF172" s="31"/>
      <c r="DG172" s="31"/>
      <c r="DH172" s="31"/>
      <c r="DI172" s="31"/>
      <c r="DJ172" s="31"/>
      <c r="DK172" s="31"/>
      <c r="DL172" s="31"/>
      <c r="DM172" s="31"/>
      <c r="DN172" s="31"/>
      <c r="DO172" s="31"/>
      <c r="DP172" s="31"/>
      <c r="DQ172" s="31"/>
      <c r="DR172" s="31"/>
      <c r="DS172" s="31"/>
      <c r="DT172" s="31"/>
      <c r="DU172" s="31"/>
      <c r="DV172" s="31"/>
      <c r="DW172" s="31"/>
      <c r="DX172" s="31"/>
      <c r="DY172" s="31"/>
      <c r="DZ172" s="31"/>
      <c r="EA172" s="31"/>
      <c r="EB172" s="31"/>
      <c r="EC172" s="31"/>
      <c r="ED172" s="31"/>
      <c r="EE172" s="31"/>
      <c r="EF172" s="31"/>
      <c r="EG172" s="31"/>
      <c r="EH172" s="31"/>
      <c r="EI172" s="31"/>
      <c r="EJ172" s="31"/>
      <c r="EK172" s="31"/>
      <c r="EL172" s="31"/>
      <c r="EM172" s="31"/>
      <c r="EN172" s="31"/>
      <c r="EO172" s="31"/>
      <c r="EP172" s="31"/>
      <c r="EQ172" s="31"/>
      <c r="ER172" s="31"/>
      <c r="ES172" s="31"/>
      <c r="ET172" s="31"/>
      <c r="EU172" s="31"/>
      <c r="EV172" s="31"/>
      <c r="EW172" s="31"/>
      <c r="EX172" s="31"/>
      <c r="EY172" s="31"/>
      <c r="EZ172" s="31"/>
      <c r="FA172" s="31"/>
      <c r="FB172" s="31"/>
      <c r="FC172" s="31"/>
      <c r="FD172" s="31"/>
      <c r="FE172" s="31"/>
      <c r="FF172" s="31"/>
      <c r="FG172" s="31"/>
      <c r="FH172" s="31"/>
      <c r="FI172" s="31"/>
      <c r="FJ172" s="31"/>
      <c r="FK172" s="31"/>
      <c r="FL172" s="31"/>
      <c r="FM172" s="31"/>
      <c r="FN172" s="31"/>
      <c r="FO172" s="31"/>
      <c r="FP172" s="31"/>
      <c r="FQ172" s="31"/>
      <c r="FR172" s="31"/>
      <c r="FS172" s="31"/>
      <c r="FT172" s="31"/>
      <c r="FU172" s="31"/>
      <c r="FV172" s="31"/>
      <c r="FW172" s="31"/>
      <c r="FX172" s="31"/>
      <c r="FY172" s="31"/>
      <c r="FZ172" s="31"/>
      <c r="GA172" s="31"/>
      <c r="GB172" s="31"/>
      <c r="GC172" s="31"/>
      <c r="GD172" s="31"/>
      <c r="GE172" s="31"/>
      <c r="GF172" s="31"/>
      <c r="GG172" s="31"/>
      <c r="GH172" s="31"/>
      <c r="GI172" s="31"/>
      <c r="GJ172" s="31"/>
      <c r="GK172" s="31"/>
      <c r="GL172" s="31"/>
      <c r="GM172" s="31"/>
      <c r="GN172" s="31"/>
      <c r="GO172" s="31"/>
      <c r="GP172" s="31"/>
      <c r="GQ172" s="31"/>
      <c r="GR172" s="31"/>
      <c r="GS172" s="31"/>
      <c r="GT172" s="31"/>
      <c r="GU172" s="31"/>
      <c r="GV172" s="31"/>
      <c r="GW172" s="31"/>
      <c r="GX172" s="31"/>
      <c r="GY172" s="31"/>
      <c r="GZ172" s="31"/>
      <c r="HA172" s="31"/>
      <c r="HB172" s="31"/>
      <c r="HC172" s="31"/>
      <c r="HD172" s="31"/>
    </row>
    <row r="173" spans="1:212" x14ac:dyDescent="0.25">
      <c r="A173" s="123">
        <v>14501168</v>
      </c>
      <c r="B173" s="70" t="s">
        <v>233</v>
      </c>
      <c r="C173" s="70" t="s">
        <v>269</v>
      </c>
      <c r="D173" s="114"/>
      <c r="E173" s="115" t="s">
        <v>77</v>
      </c>
      <c r="F173" s="70"/>
      <c r="G173" s="70"/>
      <c r="H173" s="115" t="s">
        <v>249</v>
      </c>
      <c r="I173" s="70"/>
      <c r="J173" s="70"/>
      <c r="K173" s="117"/>
      <c r="L173" s="31"/>
      <c r="M173" s="31"/>
      <c r="N173" s="12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  <c r="BS173" s="31"/>
      <c r="BT173" s="31"/>
      <c r="BU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  <c r="CF173" s="31"/>
      <c r="CG173" s="31"/>
      <c r="CH173" s="31"/>
      <c r="CI173" s="31"/>
      <c r="CJ173" s="31"/>
      <c r="CK173" s="31"/>
      <c r="CL173" s="31"/>
      <c r="CM173" s="31"/>
      <c r="CN173" s="31"/>
      <c r="CO173" s="31"/>
      <c r="CP173" s="31"/>
      <c r="CQ173" s="31"/>
      <c r="CR173" s="31"/>
      <c r="CS173" s="31"/>
      <c r="CT173" s="31"/>
      <c r="CU173" s="31"/>
      <c r="CV173" s="31"/>
      <c r="CW173" s="31"/>
      <c r="CX173" s="31"/>
      <c r="CY173" s="31"/>
      <c r="CZ173" s="31"/>
      <c r="DA173" s="31"/>
      <c r="DB173" s="31"/>
      <c r="DC173" s="31"/>
      <c r="DD173" s="31"/>
      <c r="DE173" s="31"/>
      <c r="DF173" s="31"/>
      <c r="DG173" s="31"/>
      <c r="DH173" s="31"/>
      <c r="DI173" s="31"/>
      <c r="DJ173" s="31"/>
      <c r="DK173" s="31"/>
      <c r="DL173" s="31"/>
      <c r="DM173" s="31"/>
      <c r="DN173" s="31"/>
      <c r="DO173" s="31"/>
      <c r="DP173" s="31"/>
      <c r="DQ173" s="31"/>
      <c r="DR173" s="31"/>
      <c r="DS173" s="31"/>
      <c r="DT173" s="31"/>
      <c r="DU173" s="31"/>
      <c r="DV173" s="31"/>
      <c r="DW173" s="31"/>
      <c r="DX173" s="31"/>
      <c r="DY173" s="31"/>
      <c r="DZ173" s="31"/>
      <c r="EA173" s="31"/>
      <c r="EB173" s="31"/>
      <c r="EC173" s="31"/>
      <c r="ED173" s="31"/>
      <c r="EE173" s="31"/>
      <c r="EF173" s="31"/>
      <c r="EG173" s="31"/>
      <c r="EH173" s="31"/>
      <c r="EI173" s="31"/>
      <c r="EJ173" s="31"/>
      <c r="EK173" s="31"/>
      <c r="EL173" s="31"/>
      <c r="EM173" s="31"/>
      <c r="EN173" s="31"/>
      <c r="EO173" s="31"/>
      <c r="EP173" s="31"/>
      <c r="EQ173" s="31"/>
      <c r="ER173" s="31"/>
      <c r="ES173" s="31"/>
      <c r="ET173" s="31"/>
      <c r="EU173" s="31"/>
      <c r="EV173" s="31"/>
      <c r="EW173" s="31"/>
      <c r="EX173" s="31"/>
      <c r="EY173" s="31"/>
      <c r="EZ173" s="31"/>
      <c r="FA173" s="31"/>
      <c r="FB173" s="31"/>
      <c r="FC173" s="31"/>
      <c r="FD173" s="31"/>
      <c r="FE173" s="31"/>
      <c r="FF173" s="31"/>
      <c r="FG173" s="31"/>
      <c r="FH173" s="31"/>
      <c r="FI173" s="31"/>
      <c r="FJ173" s="31"/>
      <c r="FK173" s="31"/>
      <c r="FL173" s="31"/>
      <c r="FM173" s="31"/>
      <c r="FN173" s="31"/>
      <c r="FO173" s="31"/>
      <c r="FP173" s="31"/>
      <c r="FQ173" s="31"/>
      <c r="FR173" s="31"/>
      <c r="FS173" s="31"/>
      <c r="FT173" s="31"/>
      <c r="FU173" s="31"/>
      <c r="FV173" s="31"/>
      <c r="FW173" s="31"/>
      <c r="FX173" s="31"/>
      <c r="FY173" s="31"/>
      <c r="FZ173" s="31"/>
      <c r="GA173" s="31"/>
      <c r="GB173" s="31"/>
      <c r="GC173" s="31"/>
      <c r="GD173" s="31"/>
      <c r="GE173" s="31"/>
      <c r="GF173" s="31"/>
      <c r="GG173" s="31"/>
      <c r="GH173" s="31"/>
      <c r="GI173" s="31"/>
      <c r="GJ173" s="31"/>
      <c r="GK173" s="31"/>
      <c r="GL173" s="31"/>
      <c r="GM173" s="31"/>
      <c r="GN173" s="31"/>
      <c r="GO173" s="31"/>
      <c r="GP173" s="31"/>
      <c r="GQ173" s="31"/>
      <c r="GR173" s="31"/>
      <c r="GS173" s="31"/>
      <c r="GT173" s="31"/>
      <c r="GU173" s="31"/>
      <c r="GV173" s="31"/>
      <c r="GW173" s="31"/>
      <c r="GX173" s="31"/>
      <c r="GY173" s="31"/>
      <c r="GZ173" s="31"/>
      <c r="HA173" s="31"/>
      <c r="HB173" s="31"/>
      <c r="HC173" s="31"/>
      <c r="HD173" s="31"/>
    </row>
    <row r="174" spans="1:212" s="32" customFormat="1" x14ac:dyDescent="0.25">
      <c r="A174" s="123">
        <v>14501169</v>
      </c>
      <c r="B174" s="70" t="s">
        <v>234</v>
      </c>
      <c r="C174" s="70" t="s">
        <v>269</v>
      </c>
      <c r="D174" s="114"/>
      <c r="E174" s="115" t="s">
        <v>77</v>
      </c>
      <c r="F174" s="70"/>
      <c r="G174" s="70"/>
      <c r="H174" s="115" t="s">
        <v>249</v>
      </c>
      <c r="I174" s="70"/>
      <c r="J174" s="70"/>
      <c r="K174" s="117"/>
      <c r="L174" s="31"/>
      <c r="M174" s="31"/>
      <c r="N174" s="12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  <c r="BS174" s="31"/>
      <c r="BT174" s="31"/>
      <c r="BU174" s="31"/>
      <c r="BV174" s="31"/>
      <c r="BW174" s="31"/>
      <c r="BX174" s="31"/>
      <c r="BY174" s="31"/>
      <c r="BZ174" s="31"/>
      <c r="CA174" s="31"/>
      <c r="CB174" s="31"/>
      <c r="CC174" s="31"/>
      <c r="CD174" s="31"/>
      <c r="CE174" s="31"/>
      <c r="CF174" s="31"/>
      <c r="CG174" s="31"/>
      <c r="CH174" s="31"/>
      <c r="CI174" s="31"/>
      <c r="CJ174" s="31"/>
      <c r="CK174" s="31"/>
      <c r="CL174" s="31"/>
      <c r="CM174" s="31"/>
      <c r="CN174" s="31"/>
      <c r="CO174" s="31"/>
      <c r="CP174" s="31"/>
      <c r="CQ174" s="31"/>
      <c r="CR174" s="31"/>
      <c r="CS174" s="31"/>
      <c r="CT174" s="31"/>
      <c r="CU174" s="31"/>
      <c r="CV174" s="31"/>
      <c r="CW174" s="31"/>
      <c r="CX174" s="31"/>
      <c r="CY174" s="31"/>
      <c r="CZ174" s="31"/>
      <c r="DA174" s="31"/>
      <c r="DB174" s="31"/>
      <c r="DC174" s="31"/>
      <c r="DD174" s="31"/>
      <c r="DE174" s="31"/>
      <c r="DF174" s="31"/>
      <c r="DG174" s="31"/>
      <c r="DH174" s="31"/>
      <c r="DI174" s="31"/>
      <c r="DJ174" s="31"/>
      <c r="DK174" s="31"/>
      <c r="DL174" s="31"/>
      <c r="DM174" s="31"/>
      <c r="DN174" s="31"/>
      <c r="DO174" s="31"/>
      <c r="DP174" s="31"/>
      <c r="DQ174" s="31"/>
      <c r="DR174" s="31"/>
      <c r="DS174" s="31"/>
      <c r="DT174" s="31"/>
      <c r="DU174" s="31"/>
      <c r="DV174" s="31"/>
      <c r="DW174" s="31"/>
      <c r="DX174" s="31"/>
      <c r="DY174" s="31"/>
      <c r="DZ174" s="31"/>
      <c r="EA174" s="31"/>
      <c r="EB174" s="31"/>
      <c r="EC174" s="31"/>
      <c r="ED174" s="31"/>
      <c r="EE174" s="31"/>
      <c r="EF174" s="31"/>
      <c r="EG174" s="31"/>
      <c r="EH174" s="31"/>
      <c r="EI174" s="31"/>
      <c r="EJ174" s="31"/>
      <c r="EK174" s="31"/>
      <c r="EL174" s="31"/>
      <c r="EM174" s="31"/>
      <c r="EN174" s="31"/>
      <c r="EO174" s="31"/>
      <c r="EP174" s="31"/>
      <c r="EQ174" s="31"/>
      <c r="ER174" s="31"/>
      <c r="ES174" s="31"/>
      <c r="ET174" s="31"/>
      <c r="EU174" s="31"/>
      <c r="EV174" s="31"/>
      <c r="EW174" s="31"/>
      <c r="EX174" s="31"/>
      <c r="EY174" s="31"/>
      <c r="EZ174" s="31"/>
      <c r="FA174" s="31"/>
      <c r="FB174" s="31"/>
      <c r="FC174" s="31"/>
      <c r="FD174" s="31"/>
      <c r="FE174" s="31"/>
      <c r="FF174" s="31"/>
      <c r="FG174" s="31"/>
      <c r="FH174" s="31"/>
      <c r="FI174" s="31"/>
      <c r="FJ174" s="31"/>
      <c r="FK174" s="31"/>
      <c r="FL174" s="31"/>
      <c r="FM174" s="31"/>
      <c r="FN174" s="31"/>
      <c r="FO174" s="31"/>
      <c r="FP174" s="31"/>
      <c r="FQ174" s="31"/>
      <c r="FR174" s="31"/>
      <c r="FS174" s="31"/>
      <c r="FT174" s="31"/>
      <c r="FU174" s="31"/>
      <c r="FV174" s="31"/>
      <c r="FW174" s="31"/>
      <c r="FX174" s="31"/>
      <c r="FY174" s="31"/>
      <c r="FZ174" s="31"/>
      <c r="GA174" s="31"/>
      <c r="GB174" s="31"/>
      <c r="GC174" s="31"/>
      <c r="GD174" s="31"/>
      <c r="GE174" s="31"/>
      <c r="GF174" s="31"/>
      <c r="GG174" s="31"/>
      <c r="GH174" s="31"/>
      <c r="GI174" s="31"/>
      <c r="GJ174" s="31"/>
      <c r="GK174" s="31"/>
      <c r="GL174" s="31"/>
      <c r="GM174" s="31"/>
      <c r="GN174" s="31"/>
      <c r="GO174" s="31"/>
      <c r="GP174" s="31"/>
      <c r="GQ174" s="31"/>
      <c r="GR174" s="31"/>
      <c r="GS174" s="31"/>
      <c r="GT174" s="31"/>
      <c r="GU174" s="31"/>
      <c r="GV174" s="31"/>
      <c r="GW174" s="31"/>
      <c r="GX174" s="31"/>
      <c r="GY174" s="31"/>
      <c r="GZ174" s="31"/>
      <c r="HA174" s="31"/>
      <c r="HB174" s="31"/>
      <c r="HC174" s="31"/>
      <c r="HD174" s="31"/>
    </row>
    <row r="175" spans="1:212" x14ac:dyDescent="0.25">
      <c r="A175" s="123">
        <v>14501170</v>
      </c>
      <c r="B175" s="70" t="s">
        <v>235</v>
      </c>
      <c r="C175" s="70" t="s">
        <v>269</v>
      </c>
      <c r="D175" s="114"/>
      <c r="E175" s="115" t="s">
        <v>78</v>
      </c>
      <c r="F175" s="70"/>
      <c r="G175" s="70"/>
      <c r="H175" s="115" t="s">
        <v>249</v>
      </c>
      <c r="I175" s="70"/>
      <c r="J175" s="70"/>
      <c r="K175" s="117"/>
      <c r="L175" s="31"/>
      <c r="M175" s="31"/>
      <c r="N175" s="12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  <c r="BS175" s="31"/>
      <c r="BT175" s="31"/>
      <c r="BU175" s="31"/>
      <c r="BV175" s="31"/>
      <c r="BW175" s="31"/>
      <c r="BX175" s="31"/>
      <c r="BY175" s="31"/>
      <c r="BZ175" s="31"/>
      <c r="CA175" s="31"/>
      <c r="CB175" s="31"/>
      <c r="CC175" s="31"/>
      <c r="CD175" s="31"/>
      <c r="CE175" s="31"/>
      <c r="CF175" s="31"/>
      <c r="CG175" s="31"/>
      <c r="CH175" s="31"/>
      <c r="CI175" s="31"/>
      <c r="CJ175" s="31"/>
      <c r="CK175" s="31"/>
      <c r="CL175" s="31"/>
      <c r="CM175" s="31"/>
      <c r="CN175" s="31"/>
      <c r="CO175" s="31"/>
      <c r="CP175" s="31"/>
      <c r="CQ175" s="31"/>
      <c r="CR175" s="31"/>
      <c r="CS175" s="31"/>
      <c r="CT175" s="31"/>
      <c r="CU175" s="31"/>
      <c r="CV175" s="31"/>
      <c r="CW175" s="31"/>
      <c r="CX175" s="31"/>
      <c r="CY175" s="31"/>
      <c r="CZ175" s="31"/>
      <c r="DA175" s="31"/>
      <c r="DB175" s="31"/>
      <c r="DC175" s="31"/>
      <c r="DD175" s="31"/>
      <c r="DE175" s="31"/>
      <c r="DF175" s="31"/>
      <c r="DG175" s="31"/>
      <c r="DH175" s="31"/>
      <c r="DI175" s="31"/>
      <c r="DJ175" s="31"/>
      <c r="DK175" s="31"/>
      <c r="DL175" s="31"/>
      <c r="DM175" s="31"/>
      <c r="DN175" s="31"/>
      <c r="DO175" s="31"/>
      <c r="DP175" s="31"/>
      <c r="DQ175" s="31"/>
      <c r="DR175" s="31"/>
      <c r="DS175" s="31"/>
      <c r="DT175" s="31"/>
      <c r="DU175" s="31"/>
      <c r="DV175" s="31"/>
      <c r="DW175" s="31"/>
      <c r="DX175" s="31"/>
      <c r="DY175" s="31"/>
      <c r="DZ175" s="31"/>
      <c r="EA175" s="31"/>
      <c r="EB175" s="31"/>
      <c r="EC175" s="31"/>
      <c r="ED175" s="31"/>
      <c r="EE175" s="31"/>
      <c r="EF175" s="31"/>
      <c r="EG175" s="31"/>
      <c r="EH175" s="31"/>
      <c r="EI175" s="31"/>
      <c r="EJ175" s="31"/>
      <c r="EK175" s="31"/>
      <c r="EL175" s="31"/>
      <c r="EM175" s="31"/>
      <c r="EN175" s="31"/>
      <c r="EO175" s="31"/>
      <c r="EP175" s="31"/>
      <c r="EQ175" s="31"/>
      <c r="ER175" s="31"/>
      <c r="ES175" s="31"/>
      <c r="ET175" s="31"/>
      <c r="EU175" s="31"/>
      <c r="EV175" s="31"/>
      <c r="EW175" s="31"/>
      <c r="EX175" s="31"/>
      <c r="EY175" s="31"/>
      <c r="EZ175" s="31"/>
      <c r="FA175" s="31"/>
      <c r="FB175" s="31"/>
      <c r="FC175" s="31"/>
      <c r="FD175" s="31"/>
      <c r="FE175" s="31"/>
      <c r="FF175" s="31"/>
      <c r="FG175" s="31"/>
      <c r="FH175" s="31"/>
      <c r="FI175" s="31"/>
      <c r="FJ175" s="31"/>
      <c r="FK175" s="31"/>
      <c r="FL175" s="31"/>
      <c r="FM175" s="31"/>
      <c r="FN175" s="31"/>
      <c r="FO175" s="31"/>
      <c r="FP175" s="31"/>
      <c r="FQ175" s="31"/>
      <c r="FR175" s="31"/>
      <c r="FS175" s="31"/>
      <c r="FT175" s="31"/>
      <c r="FU175" s="31"/>
      <c r="FV175" s="31"/>
      <c r="FW175" s="31"/>
      <c r="FX175" s="31"/>
      <c r="FY175" s="31"/>
      <c r="FZ175" s="31"/>
      <c r="GA175" s="31"/>
      <c r="GB175" s="31"/>
      <c r="GC175" s="31"/>
      <c r="GD175" s="31"/>
      <c r="GE175" s="31"/>
      <c r="GF175" s="31"/>
      <c r="GG175" s="31"/>
      <c r="GH175" s="31"/>
      <c r="GI175" s="31"/>
      <c r="GJ175" s="31"/>
      <c r="GK175" s="31"/>
      <c r="GL175" s="31"/>
      <c r="GM175" s="31"/>
      <c r="GN175" s="31"/>
      <c r="GO175" s="31"/>
      <c r="GP175" s="31"/>
      <c r="GQ175" s="31"/>
      <c r="GR175" s="31"/>
      <c r="GS175" s="31"/>
      <c r="GT175" s="31"/>
      <c r="GU175" s="31"/>
      <c r="GV175" s="31"/>
      <c r="GW175" s="31"/>
      <c r="GX175" s="31"/>
      <c r="GY175" s="31"/>
      <c r="GZ175" s="31"/>
      <c r="HA175" s="31"/>
      <c r="HB175" s="31"/>
      <c r="HC175" s="31"/>
      <c r="HD175" s="31"/>
    </row>
    <row r="176" spans="1:212" s="32" customFormat="1" x14ac:dyDescent="0.25">
      <c r="A176" s="123">
        <v>14501171</v>
      </c>
      <c r="B176" s="70" t="s">
        <v>236</v>
      </c>
      <c r="C176" s="70" t="s">
        <v>269</v>
      </c>
      <c r="D176" s="114"/>
      <c r="E176" s="115" t="s">
        <v>77</v>
      </c>
      <c r="F176" s="70"/>
      <c r="G176" s="70"/>
      <c r="H176" s="115" t="s">
        <v>249</v>
      </c>
      <c r="I176" s="70"/>
      <c r="J176" s="70"/>
      <c r="K176" s="117"/>
      <c r="L176" s="31"/>
      <c r="M176" s="31"/>
      <c r="N176" s="12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  <c r="BS176" s="31"/>
      <c r="BT176" s="31"/>
      <c r="BU176" s="31"/>
      <c r="BV176" s="31"/>
      <c r="BW176" s="31"/>
      <c r="BX176" s="31"/>
      <c r="BY176" s="31"/>
      <c r="BZ176" s="31"/>
      <c r="CA176" s="31"/>
      <c r="CB176" s="31"/>
      <c r="CC176" s="31"/>
      <c r="CD176" s="31"/>
      <c r="CE176" s="31"/>
      <c r="CF176" s="31"/>
      <c r="CG176" s="31"/>
      <c r="CH176" s="31"/>
      <c r="CI176" s="31"/>
      <c r="CJ176" s="31"/>
      <c r="CK176" s="31"/>
      <c r="CL176" s="31"/>
      <c r="CM176" s="31"/>
      <c r="CN176" s="31"/>
      <c r="CO176" s="31"/>
      <c r="CP176" s="31"/>
      <c r="CQ176" s="31"/>
      <c r="CR176" s="31"/>
      <c r="CS176" s="31"/>
      <c r="CT176" s="31"/>
      <c r="CU176" s="31"/>
      <c r="CV176" s="31"/>
      <c r="CW176" s="31"/>
      <c r="CX176" s="31"/>
      <c r="CY176" s="31"/>
      <c r="CZ176" s="31"/>
      <c r="DA176" s="31"/>
      <c r="DB176" s="31"/>
      <c r="DC176" s="31"/>
      <c r="DD176" s="31"/>
      <c r="DE176" s="31"/>
      <c r="DF176" s="31"/>
      <c r="DG176" s="31"/>
      <c r="DH176" s="31"/>
      <c r="DI176" s="31"/>
      <c r="DJ176" s="31"/>
      <c r="DK176" s="31"/>
      <c r="DL176" s="31"/>
      <c r="DM176" s="31"/>
      <c r="DN176" s="31"/>
      <c r="DO176" s="31"/>
      <c r="DP176" s="31"/>
      <c r="DQ176" s="31"/>
      <c r="DR176" s="31"/>
      <c r="DS176" s="31"/>
      <c r="DT176" s="31"/>
      <c r="DU176" s="31"/>
      <c r="DV176" s="31"/>
      <c r="DW176" s="31"/>
      <c r="DX176" s="31"/>
      <c r="DY176" s="31"/>
      <c r="DZ176" s="31"/>
      <c r="EA176" s="31"/>
      <c r="EB176" s="31"/>
      <c r="EC176" s="31"/>
      <c r="ED176" s="31"/>
      <c r="EE176" s="31"/>
      <c r="EF176" s="31"/>
      <c r="EG176" s="31"/>
      <c r="EH176" s="31"/>
      <c r="EI176" s="31"/>
      <c r="EJ176" s="31"/>
      <c r="EK176" s="31"/>
      <c r="EL176" s="31"/>
      <c r="EM176" s="31"/>
      <c r="EN176" s="31"/>
      <c r="EO176" s="31"/>
      <c r="EP176" s="31"/>
      <c r="EQ176" s="31"/>
      <c r="ER176" s="31"/>
      <c r="ES176" s="31"/>
      <c r="ET176" s="31"/>
      <c r="EU176" s="31"/>
      <c r="EV176" s="31"/>
      <c r="EW176" s="31"/>
      <c r="EX176" s="31"/>
      <c r="EY176" s="31"/>
      <c r="EZ176" s="31"/>
      <c r="FA176" s="31"/>
      <c r="FB176" s="31"/>
      <c r="FC176" s="31"/>
      <c r="FD176" s="31"/>
      <c r="FE176" s="31"/>
      <c r="FF176" s="31"/>
      <c r="FG176" s="31"/>
      <c r="FH176" s="31"/>
      <c r="FI176" s="31"/>
      <c r="FJ176" s="31"/>
      <c r="FK176" s="31"/>
      <c r="FL176" s="31"/>
      <c r="FM176" s="31"/>
      <c r="FN176" s="31"/>
      <c r="FO176" s="31"/>
      <c r="FP176" s="31"/>
      <c r="FQ176" s="31"/>
      <c r="FR176" s="31"/>
      <c r="FS176" s="31"/>
      <c r="FT176" s="31"/>
      <c r="FU176" s="31"/>
      <c r="FV176" s="31"/>
      <c r="FW176" s="31"/>
      <c r="FX176" s="31"/>
      <c r="FY176" s="31"/>
      <c r="FZ176" s="31"/>
      <c r="GA176" s="31"/>
      <c r="GB176" s="31"/>
      <c r="GC176" s="31"/>
      <c r="GD176" s="31"/>
      <c r="GE176" s="31"/>
      <c r="GF176" s="31"/>
      <c r="GG176" s="31"/>
      <c r="GH176" s="31"/>
      <c r="GI176" s="31"/>
      <c r="GJ176" s="31"/>
      <c r="GK176" s="31"/>
      <c r="GL176" s="31"/>
      <c r="GM176" s="31"/>
      <c r="GN176" s="31"/>
      <c r="GO176" s="31"/>
      <c r="GP176" s="31"/>
      <c r="GQ176" s="31"/>
      <c r="GR176" s="31"/>
      <c r="GS176" s="31"/>
      <c r="GT176" s="31"/>
      <c r="GU176" s="31"/>
      <c r="GV176" s="31"/>
      <c r="GW176" s="31"/>
      <c r="GX176" s="31"/>
      <c r="GY176" s="31"/>
      <c r="GZ176" s="31"/>
      <c r="HA176" s="31"/>
      <c r="HB176" s="31"/>
      <c r="HC176" s="31"/>
      <c r="HD176" s="31"/>
    </row>
    <row r="177" spans="1:212" x14ac:dyDescent="0.25">
      <c r="A177" s="123">
        <v>14501172</v>
      </c>
      <c r="B177" s="70" t="s">
        <v>237</v>
      </c>
      <c r="C177" s="70" t="s">
        <v>269</v>
      </c>
      <c r="D177" s="114"/>
      <c r="E177" s="115" t="s">
        <v>78</v>
      </c>
      <c r="F177" s="70"/>
      <c r="G177" s="70"/>
      <c r="H177" s="115" t="s">
        <v>249</v>
      </c>
      <c r="I177" s="70"/>
      <c r="J177" s="70"/>
      <c r="K177" s="117"/>
      <c r="L177" s="31"/>
      <c r="M177" s="31"/>
      <c r="N177" s="12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  <c r="BS177" s="31"/>
      <c r="BT177" s="31"/>
      <c r="BU177" s="31"/>
      <c r="BV177" s="31"/>
      <c r="BW177" s="31"/>
      <c r="BX177" s="31"/>
      <c r="BY177" s="31"/>
      <c r="BZ177" s="31"/>
      <c r="CA177" s="31"/>
      <c r="CB177" s="31"/>
      <c r="CC177" s="31"/>
      <c r="CD177" s="31"/>
      <c r="CE177" s="31"/>
      <c r="CF177" s="31"/>
      <c r="CG177" s="31"/>
      <c r="CH177" s="31"/>
      <c r="CI177" s="31"/>
      <c r="CJ177" s="31"/>
      <c r="CK177" s="31"/>
      <c r="CL177" s="31"/>
      <c r="CM177" s="31"/>
      <c r="CN177" s="31"/>
      <c r="CO177" s="31"/>
      <c r="CP177" s="31"/>
      <c r="CQ177" s="31"/>
      <c r="CR177" s="31"/>
      <c r="CS177" s="31"/>
      <c r="CT177" s="31"/>
      <c r="CU177" s="31"/>
      <c r="CV177" s="31"/>
      <c r="CW177" s="31"/>
      <c r="CX177" s="31"/>
      <c r="CY177" s="31"/>
      <c r="CZ177" s="31"/>
      <c r="DA177" s="31"/>
      <c r="DB177" s="31"/>
      <c r="DC177" s="31"/>
      <c r="DD177" s="31"/>
      <c r="DE177" s="31"/>
      <c r="DF177" s="31"/>
      <c r="DG177" s="31"/>
      <c r="DH177" s="31"/>
      <c r="DI177" s="31"/>
      <c r="DJ177" s="31"/>
      <c r="DK177" s="31"/>
      <c r="DL177" s="31"/>
      <c r="DM177" s="31"/>
      <c r="DN177" s="31"/>
      <c r="DO177" s="31"/>
      <c r="DP177" s="31"/>
      <c r="DQ177" s="31"/>
      <c r="DR177" s="31"/>
      <c r="DS177" s="31"/>
      <c r="DT177" s="31"/>
      <c r="DU177" s="31"/>
      <c r="DV177" s="31"/>
      <c r="DW177" s="31"/>
      <c r="DX177" s="31"/>
      <c r="DY177" s="31"/>
      <c r="DZ177" s="31"/>
      <c r="EA177" s="31"/>
      <c r="EB177" s="31"/>
      <c r="EC177" s="31"/>
      <c r="ED177" s="31"/>
      <c r="EE177" s="31"/>
      <c r="EF177" s="31"/>
      <c r="EG177" s="31"/>
      <c r="EH177" s="31"/>
      <c r="EI177" s="31"/>
      <c r="EJ177" s="31"/>
      <c r="EK177" s="31"/>
      <c r="EL177" s="31"/>
      <c r="EM177" s="31"/>
      <c r="EN177" s="31"/>
      <c r="EO177" s="31"/>
      <c r="EP177" s="31"/>
      <c r="EQ177" s="31"/>
      <c r="ER177" s="31"/>
      <c r="ES177" s="31"/>
      <c r="ET177" s="31"/>
      <c r="EU177" s="31"/>
      <c r="EV177" s="31"/>
      <c r="EW177" s="31"/>
      <c r="EX177" s="31"/>
      <c r="EY177" s="31"/>
      <c r="EZ177" s="31"/>
      <c r="FA177" s="31"/>
      <c r="FB177" s="31"/>
      <c r="FC177" s="31"/>
      <c r="FD177" s="31"/>
      <c r="FE177" s="31"/>
      <c r="FF177" s="31"/>
      <c r="FG177" s="31"/>
      <c r="FH177" s="31"/>
      <c r="FI177" s="31"/>
      <c r="FJ177" s="31"/>
      <c r="FK177" s="31"/>
      <c r="FL177" s="31"/>
      <c r="FM177" s="31"/>
      <c r="FN177" s="31"/>
      <c r="FO177" s="31"/>
      <c r="FP177" s="31"/>
      <c r="FQ177" s="31"/>
      <c r="FR177" s="31"/>
      <c r="FS177" s="31"/>
      <c r="FT177" s="31"/>
      <c r="FU177" s="31"/>
      <c r="FV177" s="31"/>
      <c r="FW177" s="31"/>
      <c r="FX177" s="31"/>
      <c r="FY177" s="31"/>
      <c r="FZ177" s="31"/>
      <c r="GA177" s="31"/>
      <c r="GB177" s="31"/>
      <c r="GC177" s="31"/>
      <c r="GD177" s="31"/>
      <c r="GE177" s="31"/>
      <c r="GF177" s="31"/>
      <c r="GG177" s="31"/>
      <c r="GH177" s="31"/>
      <c r="GI177" s="31"/>
      <c r="GJ177" s="31"/>
      <c r="GK177" s="31"/>
      <c r="GL177" s="31"/>
      <c r="GM177" s="31"/>
      <c r="GN177" s="31"/>
      <c r="GO177" s="31"/>
      <c r="GP177" s="31"/>
      <c r="GQ177" s="31"/>
      <c r="GR177" s="31"/>
      <c r="GS177" s="31"/>
      <c r="GT177" s="31"/>
      <c r="GU177" s="31"/>
      <c r="GV177" s="31"/>
      <c r="GW177" s="31"/>
      <c r="GX177" s="31"/>
      <c r="GY177" s="31"/>
      <c r="GZ177" s="31"/>
      <c r="HA177" s="31"/>
      <c r="HB177" s="31"/>
      <c r="HC177" s="31"/>
      <c r="HD177" s="31"/>
    </row>
    <row r="178" spans="1:212" s="32" customFormat="1" x14ac:dyDescent="0.25">
      <c r="A178" s="123">
        <v>14501173</v>
      </c>
      <c r="B178" s="70" t="s">
        <v>238</v>
      </c>
      <c r="C178" s="70" t="s">
        <v>269</v>
      </c>
      <c r="D178" s="114"/>
      <c r="E178" s="115" t="s">
        <v>78</v>
      </c>
      <c r="F178" s="70"/>
      <c r="G178" s="70"/>
      <c r="H178" s="115" t="s">
        <v>249</v>
      </c>
      <c r="I178" s="70"/>
      <c r="J178" s="70"/>
      <c r="K178" s="117"/>
      <c r="L178" s="31"/>
      <c r="M178" s="31"/>
      <c r="N178" s="12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  <c r="BS178" s="31"/>
      <c r="BT178" s="31"/>
      <c r="BU178" s="31"/>
      <c r="BV178" s="31"/>
      <c r="BW178" s="31"/>
      <c r="BX178" s="31"/>
      <c r="BY178" s="31"/>
      <c r="BZ178" s="31"/>
      <c r="CA178" s="31"/>
      <c r="CB178" s="31"/>
      <c r="CC178" s="31"/>
      <c r="CD178" s="31"/>
      <c r="CE178" s="31"/>
      <c r="CF178" s="31"/>
      <c r="CG178" s="31"/>
      <c r="CH178" s="31"/>
      <c r="CI178" s="31"/>
      <c r="CJ178" s="31"/>
      <c r="CK178" s="31"/>
      <c r="CL178" s="31"/>
      <c r="CM178" s="31"/>
      <c r="CN178" s="31"/>
      <c r="CO178" s="31"/>
      <c r="CP178" s="31"/>
      <c r="CQ178" s="31"/>
      <c r="CR178" s="31"/>
      <c r="CS178" s="31"/>
      <c r="CT178" s="31"/>
      <c r="CU178" s="31"/>
      <c r="CV178" s="31"/>
      <c r="CW178" s="31"/>
      <c r="CX178" s="31"/>
      <c r="CY178" s="31"/>
      <c r="CZ178" s="31"/>
      <c r="DA178" s="31"/>
      <c r="DB178" s="31"/>
      <c r="DC178" s="31"/>
      <c r="DD178" s="31"/>
      <c r="DE178" s="31"/>
      <c r="DF178" s="31"/>
      <c r="DG178" s="31"/>
      <c r="DH178" s="31"/>
      <c r="DI178" s="31"/>
      <c r="DJ178" s="31"/>
      <c r="DK178" s="31"/>
      <c r="DL178" s="31"/>
      <c r="DM178" s="31"/>
      <c r="DN178" s="31"/>
      <c r="DO178" s="31"/>
      <c r="DP178" s="31"/>
      <c r="DQ178" s="31"/>
      <c r="DR178" s="31"/>
      <c r="DS178" s="31"/>
      <c r="DT178" s="31"/>
      <c r="DU178" s="31"/>
      <c r="DV178" s="31"/>
      <c r="DW178" s="31"/>
      <c r="DX178" s="31"/>
      <c r="DY178" s="31"/>
      <c r="DZ178" s="31"/>
      <c r="EA178" s="31"/>
      <c r="EB178" s="31"/>
      <c r="EC178" s="31"/>
      <c r="ED178" s="31"/>
      <c r="EE178" s="31"/>
      <c r="EF178" s="31"/>
      <c r="EG178" s="31"/>
      <c r="EH178" s="31"/>
      <c r="EI178" s="31"/>
      <c r="EJ178" s="31"/>
      <c r="EK178" s="31"/>
      <c r="EL178" s="31"/>
      <c r="EM178" s="31"/>
      <c r="EN178" s="31"/>
      <c r="EO178" s="31"/>
      <c r="EP178" s="31"/>
      <c r="EQ178" s="31"/>
      <c r="ER178" s="31"/>
      <c r="ES178" s="31"/>
      <c r="ET178" s="31"/>
      <c r="EU178" s="31"/>
      <c r="EV178" s="31"/>
      <c r="EW178" s="31"/>
      <c r="EX178" s="31"/>
      <c r="EY178" s="31"/>
      <c r="EZ178" s="31"/>
      <c r="FA178" s="31"/>
      <c r="FB178" s="31"/>
      <c r="FC178" s="31"/>
      <c r="FD178" s="31"/>
      <c r="FE178" s="31"/>
      <c r="FF178" s="31"/>
      <c r="FG178" s="31"/>
      <c r="FH178" s="31"/>
      <c r="FI178" s="31"/>
      <c r="FJ178" s="31"/>
      <c r="FK178" s="31"/>
      <c r="FL178" s="31"/>
      <c r="FM178" s="31"/>
      <c r="FN178" s="31"/>
      <c r="FO178" s="31"/>
      <c r="FP178" s="31"/>
      <c r="FQ178" s="31"/>
      <c r="FR178" s="31"/>
      <c r="FS178" s="31"/>
      <c r="FT178" s="31"/>
      <c r="FU178" s="31"/>
      <c r="FV178" s="31"/>
      <c r="FW178" s="31"/>
      <c r="FX178" s="31"/>
      <c r="FY178" s="31"/>
      <c r="FZ178" s="31"/>
      <c r="GA178" s="31"/>
      <c r="GB178" s="31"/>
      <c r="GC178" s="31"/>
      <c r="GD178" s="31"/>
      <c r="GE178" s="31"/>
      <c r="GF178" s="31"/>
      <c r="GG178" s="31"/>
      <c r="GH178" s="31"/>
      <c r="GI178" s="31"/>
      <c r="GJ178" s="31"/>
      <c r="GK178" s="31"/>
      <c r="GL178" s="31"/>
      <c r="GM178" s="31"/>
      <c r="GN178" s="31"/>
      <c r="GO178" s="31"/>
      <c r="GP178" s="31"/>
      <c r="GQ178" s="31"/>
      <c r="GR178" s="31"/>
      <c r="GS178" s="31"/>
      <c r="GT178" s="31"/>
      <c r="GU178" s="31"/>
      <c r="GV178" s="31"/>
      <c r="GW178" s="31"/>
      <c r="GX178" s="31"/>
      <c r="GY178" s="31"/>
      <c r="GZ178" s="31"/>
      <c r="HA178" s="31"/>
      <c r="HB178" s="31"/>
      <c r="HC178" s="31"/>
      <c r="HD178" s="31"/>
    </row>
    <row r="179" spans="1:212" x14ac:dyDescent="0.25">
      <c r="A179" s="123">
        <v>14501174</v>
      </c>
      <c r="B179" s="70" t="s">
        <v>239</v>
      </c>
      <c r="C179" s="70" t="s">
        <v>269</v>
      </c>
      <c r="D179" s="114"/>
      <c r="E179" s="115" t="s">
        <v>77</v>
      </c>
      <c r="F179" s="70"/>
      <c r="G179" s="70"/>
      <c r="H179" s="115" t="s">
        <v>249</v>
      </c>
      <c r="I179" s="70"/>
      <c r="J179" s="70"/>
      <c r="K179" s="117"/>
      <c r="L179" s="31"/>
      <c r="M179" s="31"/>
      <c r="N179" s="12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  <c r="BS179" s="31"/>
      <c r="BT179" s="31"/>
      <c r="BU179" s="31"/>
      <c r="BV179" s="31"/>
      <c r="BW179" s="31"/>
      <c r="BX179" s="31"/>
      <c r="BY179" s="31"/>
      <c r="BZ179" s="31"/>
      <c r="CA179" s="31"/>
      <c r="CB179" s="31"/>
      <c r="CC179" s="31"/>
      <c r="CD179" s="31"/>
      <c r="CE179" s="31"/>
      <c r="CF179" s="31"/>
      <c r="CG179" s="31"/>
      <c r="CH179" s="31"/>
      <c r="CI179" s="31"/>
      <c r="CJ179" s="31"/>
      <c r="CK179" s="31"/>
      <c r="CL179" s="31"/>
      <c r="CM179" s="31"/>
      <c r="CN179" s="31"/>
      <c r="CO179" s="31"/>
      <c r="CP179" s="31"/>
      <c r="CQ179" s="31"/>
      <c r="CR179" s="31"/>
      <c r="CS179" s="31"/>
      <c r="CT179" s="31"/>
      <c r="CU179" s="31"/>
      <c r="CV179" s="31"/>
      <c r="CW179" s="31"/>
      <c r="CX179" s="31"/>
      <c r="CY179" s="31"/>
      <c r="CZ179" s="31"/>
      <c r="DA179" s="31"/>
      <c r="DB179" s="31"/>
      <c r="DC179" s="31"/>
      <c r="DD179" s="31"/>
      <c r="DE179" s="31"/>
      <c r="DF179" s="31"/>
      <c r="DG179" s="31"/>
      <c r="DH179" s="31"/>
      <c r="DI179" s="31"/>
      <c r="DJ179" s="31"/>
      <c r="DK179" s="31"/>
      <c r="DL179" s="31"/>
      <c r="DM179" s="31"/>
      <c r="DN179" s="31"/>
      <c r="DO179" s="31"/>
      <c r="DP179" s="31"/>
      <c r="DQ179" s="31"/>
      <c r="DR179" s="31"/>
      <c r="DS179" s="31"/>
      <c r="DT179" s="31"/>
      <c r="DU179" s="31"/>
      <c r="DV179" s="31"/>
      <c r="DW179" s="31"/>
      <c r="DX179" s="31"/>
      <c r="DY179" s="31"/>
      <c r="DZ179" s="31"/>
      <c r="EA179" s="31"/>
      <c r="EB179" s="31"/>
      <c r="EC179" s="31"/>
      <c r="ED179" s="31"/>
      <c r="EE179" s="31"/>
      <c r="EF179" s="31"/>
      <c r="EG179" s="31"/>
      <c r="EH179" s="31"/>
      <c r="EI179" s="31"/>
      <c r="EJ179" s="31"/>
      <c r="EK179" s="31"/>
      <c r="EL179" s="31"/>
      <c r="EM179" s="31"/>
      <c r="EN179" s="31"/>
      <c r="EO179" s="31"/>
      <c r="EP179" s="31"/>
      <c r="EQ179" s="31"/>
      <c r="ER179" s="31"/>
      <c r="ES179" s="31"/>
      <c r="ET179" s="31"/>
      <c r="EU179" s="31"/>
      <c r="EV179" s="31"/>
      <c r="EW179" s="31"/>
      <c r="EX179" s="31"/>
      <c r="EY179" s="31"/>
      <c r="EZ179" s="31"/>
      <c r="FA179" s="31"/>
      <c r="FB179" s="31"/>
      <c r="FC179" s="31"/>
      <c r="FD179" s="31"/>
      <c r="FE179" s="31"/>
      <c r="FF179" s="31"/>
      <c r="FG179" s="31"/>
      <c r="FH179" s="31"/>
      <c r="FI179" s="31"/>
      <c r="FJ179" s="31"/>
      <c r="FK179" s="31"/>
      <c r="FL179" s="31"/>
      <c r="FM179" s="31"/>
      <c r="FN179" s="31"/>
      <c r="FO179" s="31"/>
      <c r="FP179" s="31"/>
      <c r="FQ179" s="31"/>
      <c r="FR179" s="31"/>
      <c r="FS179" s="31"/>
      <c r="FT179" s="31"/>
      <c r="FU179" s="31"/>
      <c r="FV179" s="31"/>
      <c r="FW179" s="31"/>
      <c r="FX179" s="31"/>
      <c r="FY179" s="31"/>
      <c r="FZ179" s="31"/>
      <c r="GA179" s="31"/>
      <c r="GB179" s="31"/>
      <c r="GC179" s="31"/>
      <c r="GD179" s="31"/>
      <c r="GE179" s="31"/>
      <c r="GF179" s="31"/>
      <c r="GG179" s="31"/>
      <c r="GH179" s="31"/>
      <c r="GI179" s="31"/>
      <c r="GJ179" s="31"/>
      <c r="GK179" s="31"/>
      <c r="GL179" s="31"/>
      <c r="GM179" s="31"/>
      <c r="GN179" s="31"/>
      <c r="GO179" s="31"/>
      <c r="GP179" s="31"/>
      <c r="GQ179" s="31"/>
      <c r="GR179" s="31"/>
      <c r="GS179" s="31"/>
      <c r="GT179" s="31"/>
      <c r="GU179" s="31"/>
      <c r="GV179" s="31"/>
      <c r="GW179" s="31"/>
      <c r="GX179" s="31"/>
      <c r="GY179" s="31"/>
      <c r="GZ179" s="31"/>
      <c r="HA179" s="31"/>
      <c r="HB179" s="31"/>
      <c r="HC179" s="31"/>
      <c r="HD179" s="31"/>
    </row>
    <row r="180" spans="1:212" s="32" customFormat="1" x14ac:dyDescent="0.25">
      <c r="A180" s="123">
        <v>14501175</v>
      </c>
      <c r="B180" s="70" t="s">
        <v>240</v>
      </c>
      <c r="C180" s="70" t="s">
        <v>269</v>
      </c>
      <c r="D180" s="114"/>
      <c r="E180" s="115" t="s">
        <v>77</v>
      </c>
      <c r="F180" s="70"/>
      <c r="G180" s="70"/>
      <c r="H180" s="115" t="s">
        <v>249</v>
      </c>
      <c r="I180" s="70"/>
      <c r="J180" s="70"/>
      <c r="K180" s="117"/>
      <c r="L180" s="31"/>
      <c r="M180" s="31"/>
      <c r="N180" s="12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  <c r="BS180" s="31"/>
      <c r="BT180" s="31"/>
      <c r="BU180" s="31"/>
      <c r="BV180" s="31"/>
      <c r="BW180" s="31"/>
      <c r="BX180" s="31"/>
      <c r="BY180" s="31"/>
      <c r="BZ180" s="31"/>
      <c r="CA180" s="31"/>
      <c r="CB180" s="31"/>
      <c r="CC180" s="31"/>
      <c r="CD180" s="31"/>
      <c r="CE180" s="31"/>
      <c r="CF180" s="31"/>
      <c r="CG180" s="31"/>
      <c r="CH180" s="31"/>
      <c r="CI180" s="31"/>
      <c r="CJ180" s="31"/>
      <c r="CK180" s="31"/>
      <c r="CL180" s="31"/>
      <c r="CM180" s="31"/>
      <c r="CN180" s="31"/>
      <c r="CO180" s="31"/>
      <c r="CP180" s="31"/>
      <c r="CQ180" s="31"/>
      <c r="CR180" s="31"/>
      <c r="CS180" s="31"/>
      <c r="CT180" s="31"/>
      <c r="CU180" s="31"/>
      <c r="CV180" s="31"/>
      <c r="CW180" s="31"/>
      <c r="CX180" s="31"/>
      <c r="CY180" s="31"/>
      <c r="CZ180" s="31"/>
      <c r="DA180" s="31"/>
      <c r="DB180" s="31"/>
      <c r="DC180" s="31"/>
      <c r="DD180" s="31"/>
      <c r="DE180" s="31"/>
      <c r="DF180" s="31"/>
      <c r="DG180" s="31"/>
      <c r="DH180" s="31"/>
      <c r="DI180" s="31"/>
      <c r="DJ180" s="31"/>
      <c r="DK180" s="31"/>
      <c r="DL180" s="31"/>
      <c r="DM180" s="31"/>
      <c r="DN180" s="31"/>
      <c r="DO180" s="31"/>
      <c r="DP180" s="31"/>
      <c r="DQ180" s="31"/>
      <c r="DR180" s="31"/>
      <c r="DS180" s="31"/>
      <c r="DT180" s="31"/>
      <c r="DU180" s="31"/>
      <c r="DV180" s="31"/>
      <c r="DW180" s="31"/>
      <c r="DX180" s="31"/>
      <c r="DY180" s="31"/>
      <c r="DZ180" s="31"/>
      <c r="EA180" s="31"/>
      <c r="EB180" s="31"/>
      <c r="EC180" s="31"/>
      <c r="ED180" s="31"/>
      <c r="EE180" s="31"/>
      <c r="EF180" s="31"/>
      <c r="EG180" s="31"/>
      <c r="EH180" s="31"/>
      <c r="EI180" s="31"/>
      <c r="EJ180" s="31"/>
      <c r="EK180" s="31"/>
      <c r="EL180" s="31"/>
      <c r="EM180" s="31"/>
      <c r="EN180" s="31"/>
      <c r="EO180" s="31"/>
      <c r="EP180" s="31"/>
      <c r="EQ180" s="31"/>
      <c r="ER180" s="31"/>
      <c r="ES180" s="31"/>
      <c r="ET180" s="31"/>
      <c r="EU180" s="31"/>
      <c r="EV180" s="31"/>
      <c r="EW180" s="31"/>
      <c r="EX180" s="31"/>
      <c r="EY180" s="31"/>
      <c r="EZ180" s="31"/>
      <c r="FA180" s="31"/>
      <c r="FB180" s="31"/>
      <c r="FC180" s="31"/>
      <c r="FD180" s="31"/>
      <c r="FE180" s="31"/>
      <c r="FF180" s="31"/>
      <c r="FG180" s="31"/>
      <c r="FH180" s="31"/>
      <c r="FI180" s="31"/>
      <c r="FJ180" s="31"/>
      <c r="FK180" s="31"/>
      <c r="FL180" s="31"/>
      <c r="FM180" s="31"/>
      <c r="FN180" s="31"/>
      <c r="FO180" s="31"/>
      <c r="FP180" s="31"/>
      <c r="FQ180" s="31"/>
      <c r="FR180" s="31"/>
      <c r="FS180" s="31"/>
      <c r="FT180" s="31"/>
      <c r="FU180" s="31"/>
      <c r="FV180" s="31"/>
      <c r="FW180" s="31"/>
      <c r="FX180" s="31"/>
      <c r="FY180" s="31"/>
      <c r="FZ180" s="31"/>
      <c r="GA180" s="31"/>
      <c r="GB180" s="31"/>
      <c r="GC180" s="31"/>
      <c r="GD180" s="31"/>
      <c r="GE180" s="31"/>
      <c r="GF180" s="31"/>
      <c r="GG180" s="31"/>
      <c r="GH180" s="31"/>
      <c r="GI180" s="31"/>
      <c r="GJ180" s="31"/>
      <c r="GK180" s="31"/>
      <c r="GL180" s="31"/>
      <c r="GM180" s="31"/>
      <c r="GN180" s="31"/>
      <c r="GO180" s="31"/>
      <c r="GP180" s="31"/>
      <c r="GQ180" s="31"/>
      <c r="GR180" s="31"/>
      <c r="GS180" s="31"/>
      <c r="GT180" s="31"/>
      <c r="GU180" s="31"/>
      <c r="GV180" s="31"/>
      <c r="GW180" s="31"/>
      <c r="GX180" s="31"/>
      <c r="GY180" s="31"/>
      <c r="GZ180" s="31"/>
      <c r="HA180" s="31"/>
      <c r="HB180" s="31"/>
      <c r="HC180" s="31"/>
      <c r="HD180" s="31"/>
    </row>
    <row r="181" spans="1:212" x14ac:dyDescent="0.25">
      <c r="A181" s="123">
        <v>14501176</v>
      </c>
      <c r="B181" s="70" t="s">
        <v>241</v>
      </c>
      <c r="C181" s="70" t="s">
        <v>269</v>
      </c>
      <c r="D181" s="114"/>
      <c r="E181" s="115" t="s">
        <v>77</v>
      </c>
      <c r="F181" s="70"/>
      <c r="G181" s="70"/>
      <c r="H181" s="115" t="s">
        <v>249</v>
      </c>
      <c r="I181" s="70"/>
      <c r="J181" s="70"/>
      <c r="K181" s="117"/>
      <c r="L181" s="31"/>
      <c r="M181" s="31"/>
      <c r="N181" s="12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  <c r="BS181" s="31"/>
      <c r="BT181" s="31"/>
      <c r="BU181" s="31"/>
      <c r="BV181" s="31"/>
      <c r="BW181" s="31"/>
      <c r="BX181" s="31"/>
      <c r="BY181" s="31"/>
      <c r="BZ181" s="31"/>
      <c r="CA181" s="31"/>
      <c r="CB181" s="31"/>
      <c r="CC181" s="31"/>
      <c r="CD181" s="31"/>
      <c r="CE181" s="31"/>
      <c r="CF181" s="31"/>
      <c r="CG181" s="31"/>
      <c r="CH181" s="31"/>
      <c r="CI181" s="31"/>
      <c r="CJ181" s="31"/>
      <c r="CK181" s="31"/>
      <c r="CL181" s="31"/>
      <c r="CM181" s="31"/>
      <c r="CN181" s="31"/>
      <c r="CO181" s="31"/>
      <c r="CP181" s="31"/>
      <c r="CQ181" s="31"/>
      <c r="CR181" s="31"/>
      <c r="CS181" s="31"/>
      <c r="CT181" s="31"/>
      <c r="CU181" s="31"/>
      <c r="CV181" s="31"/>
      <c r="CW181" s="31"/>
      <c r="CX181" s="31"/>
      <c r="CY181" s="31"/>
      <c r="CZ181" s="31"/>
      <c r="DA181" s="31"/>
      <c r="DB181" s="31"/>
      <c r="DC181" s="31"/>
      <c r="DD181" s="31"/>
      <c r="DE181" s="31"/>
      <c r="DF181" s="31"/>
      <c r="DG181" s="31"/>
      <c r="DH181" s="31"/>
      <c r="DI181" s="31"/>
      <c r="DJ181" s="31"/>
      <c r="DK181" s="31"/>
      <c r="DL181" s="31"/>
      <c r="DM181" s="31"/>
      <c r="DN181" s="31"/>
      <c r="DO181" s="31"/>
      <c r="DP181" s="31"/>
      <c r="DQ181" s="31"/>
      <c r="DR181" s="31"/>
      <c r="DS181" s="31"/>
      <c r="DT181" s="31"/>
      <c r="DU181" s="31"/>
      <c r="DV181" s="31"/>
      <c r="DW181" s="31"/>
      <c r="DX181" s="31"/>
      <c r="DY181" s="31"/>
      <c r="DZ181" s="31"/>
      <c r="EA181" s="31"/>
      <c r="EB181" s="31"/>
      <c r="EC181" s="31"/>
      <c r="ED181" s="31"/>
      <c r="EE181" s="31"/>
      <c r="EF181" s="31"/>
      <c r="EG181" s="31"/>
      <c r="EH181" s="31"/>
      <c r="EI181" s="31"/>
      <c r="EJ181" s="31"/>
      <c r="EK181" s="31"/>
      <c r="EL181" s="31"/>
      <c r="EM181" s="31"/>
      <c r="EN181" s="31"/>
      <c r="EO181" s="31"/>
      <c r="EP181" s="31"/>
      <c r="EQ181" s="31"/>
      <c r="ER181" s="31"/>
      <c r="ES181" s="31"/>
      <c r="ET181" s="31"/>
      <c r="EU181" s="31"/>
      <c r="EV181" s="31"/>
      <c r="EW181" s="31"/>
      <c r="EX181" s="31"/>
      <c r="EY181" s="31"/>
      <c r="EZ181" s="31"/>
      <c r="FA181" s="31"/>
      <c r="FB181" s="31"/>
      <c r="FC181" s="31"/>
      <c r="FD181" s="31"/>
      <c r="FE181" s="31"/>
      <c r="FF181" s="31"/>
      <c r="FG181" s="31"/>
      <c r="FH181" s="31"/>
      <c r="FI181" s="31"/>
      <c r="FJ181" s="31"/>
      <c r="FK181" s="31"/>
      <c r="FL181" s="31"/>
      <c r="FM181" s="31"/>
      <c r="FN181" s="31"/>
      <c r="FO181" s="31"/>
      <c r="FP181" s="31"/>
      <c r="FQ181" s="31"/>
      <c r="FR181" s="31"/>
      <c r="FS181" s="31"/>
      <c r="FT181" s="31"/>
      <c r="FU181" s="31"/>
      <c r="FV181" s="31"/>
      <c r="FW181" s="31"/>
      <c r="FX181" s="31"/>
      <c r="FY181" s="31"/>
      <c r="FZ181" s="31"/>
      <c r="GA181" s="31"/>
      <c r="GB181" s="31"/>
      <c r="GC181" s="31"/>
      <c r="GD181" s="31"/>
      <c r="GE181" s="31"/>
      <c r="GF181" s="31"/>
      <c r="GG181" s="31"/>
      <c r="GH181" s="31"/>
      <c r="GI181" s="31"/>
      <c r="GJ181" s="31"/>
      <c r="GK181" s="31"/>
      <c r="GL181" s="31"/>
      <c r="GM181" s="31"/>
      <c r="GN181" s="31"/>
      <c r="GO181" s="31"/>
      <c r="GP181" s="31"/>
      <c r="GQ181" s="31"/>
      <c r="GR181" s="31"/>
      <c r="GS181" s="31"/>
      <c r="GT181" s="31"/>
      <c r="GU181" s="31"/>
      <c r="GV181" s="31"/>
      <c r="GW181" s="31"/>
      <c r="GX181" s="31"/>
      <c r="GY181" s="31"/>
      <c r="GZ181" s="31"/>
      <c r="HA181" s="31"/>
      <c r="HB181" s="31"/>
      <c r="HC181" s="31"/>
      <c r="HD181" s="31"/>
    </row>
    <row r="182" spans="1:212" s="32" customFormat="1" x14ac:dyDescent="0.25">
      <c r="A182" s="123">
        <v>14501177</v>
      </c>
      <c r="B182" s="70" t="s">
        <v>242</v>
      </c>
      <c r="C182" s="70" t="s">
        <v>269</v>
      </c>
      <c r="D182" s="114"/>
      <c r="E182" s="115" t="s">
        <v>77</v>
      </c>
      <c r="F182" s="70"/>
      <c r="G182" s="70"/>
      <c r="H182" s="115" t="s">
        <v>249</v>
      </c>
      <c r="I182" s="70"/>
      <c r="J182" s="70"/>
      <c r="K182" s="117"/>
      <c r="L182" s="31"/>
      <c r="M182" s="31"/>
      <c r="N182" s="12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  <c r="BS182" s="31"/>
      <c r="BT182" s="31"/>
      <c r="BU182" s="31"/>
      <c r="BV182" s="31"/>
      <c r="BW182" s="31"/>
      <c r="BX182" s="31"/>
      <c r="BY182" s="31"/>
      <c r="BZ182" s="31"/>
      <c r="CA182" s="31"/>
      <c r="CB182" s="31"/>
      <c r="CC182" s="31"/>
      <c r="CD182" s="31"/>
      <c r="CE182" s="31"/>
      <c r="CF182" s="31"/>
      <c r="CG182" s="31"/>
      <c r="CH182" s="31"/>
      <c r="CI182" s="31"/>
      <c r="CJ182" s="31"/>
      <c r="CK182" s="31"/>
      <c r="CL182" s="31"/>
      <c r="CM182" s="31"/>
      <c r="CN182" s="31"/>
      <c r="CO182" s="31"/>
      <c r="CP182" s="31"/>
      <c r="CQ182" s="31"/>
      <c r="CR182" s="31"/>
      <c r="CS182" s="31"/>
      <c r="CT182" s="31"/>
      <c r="CU182" s="31"/>
      <c r="CV182" s="31"/>
      <c r="CW182" s="31"/>
      <c r="CX182" s="31"/>
      <c r="CY182" s="31"/>
      <c r="CZ182" s="31"/>
      <c r="DA182" s="31"/>
      <c r="DB182" s="31"/>
      <c r="DC182" s="31"/>
      <c r="DD182" s="31"/>
      <c r="DE182" s="31"/>
      <c r="DF182" s="31"/>
      <c r="DG182" s="31"/>
      <c r="DH182" s="31"/>
      <c r="DI182" s="31"/>
      <c r="DJ182" s="31"/>
      <c r="DK182" s="31"/>
      <c r="DL182" s="31"/>
      <c r="DM182" s="31"/>
      <c r="DN182" s="31"/>
      <c r="DO182" s="31"/>
      <c r="DP182" s="31"/>
      <c r="DQ182" s="31"/>
      <c r="DR182" s="31"/>
      <c r="DS182" s="31"/>
      <c r="DT182" s="31"/>
      <c r="DU182" s="31"/>
      <c r="DV182" s="31"/>
      <c r="DW182" s="31"/>
      <c r="DX182" s="31"/>
      <c r="DY182" s="31"/>
      <c r="DZ182" s="31"/>
      <c r="EA182" s="31"/>
      <c r="EB182" s="31"/>
      <c r="EC182" s="31"/>
      <c r="ED182" s="31"/>
      <c r="EE182" s="31"/>
      <c r="EF182" s="31"/>
      <c r="EG182" s="31"/>
      <c r="EH182" s="31"/>
      <c r="EI182" s="31"/>
      <c r="EJ182" s="31"/>
      <c r="EK182" s="31"/>
      <c r="EL182" s="31"/>
      <c r="EM182" s="31"/>
      <c r="EN182" s="31"/>
      <c r="EO182" s="31"/>
      <c r="EP182" s="31"/>
      <c r="EQ182" s="31"/>
      <c r="ER182" s="31"/>
      <c r="ES182" s="31"/>
      <c r="ET182" s="31"/>
      <c r="EU182" s="31"/>
      <c r="EV182" s="31"/>
      <c r="EW182" s="31"/>
      <c r="EX182" s="31"/>
      <c r="EY182" s="31"/>
      <c r="EZ182" s="31"/>
      <c r="FA182" s="31"/>
      <c r="FB182" s="31"/>
      <c r="FC182" s="31"/>
      <c r="FD182" s="31"/>
      <c r="FE182" s="31"/>
      <c r="FF182" s="31"/>
      <c r="FG182" s="31"/>
      <c r="FH182" s="31"/>
      <c r="FI182" s="31"/>
      <c r="FJ182" s="31"/>
      <c r="FK182" s="31"/>
      <c r="FL182" s="31"/>
      <c r="FM182" s="31"/>
      <c r="FN182" s="31"/>
      <c r="FO182" s="31"/>
      <c r="FP182" s="31"/>
      <c r="FQ182" s="31"/>
      <c r="FR182" s="31"/>
      <c r="FS182" s="31"/>
      <c r="FT182" s="31"/>
      <c r="FU182" s="31"/>
      <c r="FV182" s="31"/>
      <c r="FW182" s="31"/>
      <c r="FX182" s="31"/>
      <c r="FY182" s="31"/>
      <c r="FZ182" s="31"/>
      <c r="GA182" s="31"/>
      <c r="GB182" s="31"/>
      <c r="GC182" s="31"/>
      <c r="GD182" s="31"/>
      <c r="GE182" s="31"/>
      <c r="GF182" s="31"/>
      <c r="GG182" s="31"/>
      <c r="GH182" s="31"/>
      <c r="GI182" s="31"/>
      <c r="GJ182" s="31"/>
      <c r="GK182" s="31"/>
      <c r="GL182" s="31"/>
      <c r="GM182" s="31"/>
      <c r="GN182" s="31"/>
      <c r="GO182" s="31"/>
      <c r="GP182" s="31"/>
      <c r="GQ182" s="31"/>
      <c r="GR182" s="31"/>
      <c r="GS182" s="31"/>
      <c r="GT182" s="31"/>
      <c r="GU182" s="31"/>
      <c r="GV182" s="31"/>
      <c r="GW182" s="31"/>
      <c r="GX182" s="31"/>
      <c r="GY182" s="31"/>
      <c r="GZ182" s="31"/>
      <c r="HA182" s="31"/>
      <c r="HB182" s="31"/>
      <c r="HC182" s="31"/>
      <c r="HD182" s="31"/>
    </row>
    <row r="183" spans="1:212" x14ac:dyDescent="0.25">
      <c r="A183" s="123">
        <v>14501178</v>
      </c>
      <c r="B183" s="70" t="s">
        <v>243</v>
      </c>
      <c r="C183" s="70" t="s">
        <v>269</v>
      </c>
      <c r="D183" s="114"/>
      <c r="E183" s="115" t="s">
        <v>77</v>
      </c>
      <c r="F183" s="70"/>
      <c r="G183" s="70"/>
      <c r="H183" s="115" t="s">
        <v>249</v>
      </c>
      <c r="I183" s="70"/>
      <c r="J183" s="70"/>
      <c r="K183" s="117"/>
      <c r="L183" s="31"/>
      <c r="M183" s="31"/>
      <c r="N183" s="12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  <c r="BS183" s="31"/>
      <c r="BT183" s="31"/>
      <c r="BU183" s="31"/>
      <c r="BV183" s="31"/>
      <c r="BW183" s="31"/>
      <c r="BX183" s="31"/>
      <c r="BY183" s="31"/>
      <c r="BZ183" s="31"/>
      <c r="CA183" s="31"/>
      <c r="CB183" s="31"/>
      <c r="CC183" s="31"/>
      <c r="CD183" s="31"/>
      <c r="CE183" s="31"/>
      <c r="CF183" s="31"/>
      <c r="CG183" s="31"/>
      <c r="CH183" s="31"/>
      <c r="CI183" s="31"/>
      <c r="CJ183" s="31"/>
      <c r="CK183" s="31"/>
      <c r="CL183" s="31"/>
      <c r="CM183" s="31"/>
      <c r="CN183" s="31"/>
      <c r="CO183" s="31"/>
      <c r="CP183" s="31"/>
      <c r="CQ183" s="31"/>
      <c r="CR183" s="31"/>
      <c r="CS183" s="31"/>
      <c r="CT183" s="31"/>
      <c r="CU183" s="31"/>
      <c r="CV183" s="31"/>
      <c r="CW183" s="31"/>
      <c r="CX183" s="31"/>
      <c r="CY183" s="31"/>
      <c r="CZ183" s="31"/>
      <c r="DA183" s="31"/>
      <c r="DB183" s="31"/>
      <c r="DC183" s="31"/>
      <c r="DD183" s="31"/>
      <c r="DE183" s="31"/>
      <c r="DF183" s="31"/>
      <c r="DG183" s="31"/>
      <c r="DH183" s="31"/>
      <c r="DI183" s="31"/>
      <c r="DJ183" s="31"/>
      <c r="DK183" s="31"/>
      <c r="DL183" s="31"/>
      <c r="DM183" s="31"/>
      <c r="DN183" s="31"/>
      <c r="DO183" s="31"/>
      <c r="DP183" s="31"/>
      <c r="DQ183" s="31"/>
      <c r="DR183" s="31"/>
      <c r="DS183" s="31"/>
      <c r="DT183" s="31"/>
      <c r="DU183" s="31"/>
      <c r="DV183" s="31"/>
      <c r="DW183" s="31"/>
      <c r="DX183" s="31"/>
      <c r="DY183" s="31"/>
      <c r="DZ183" s="31"/>
      <c r="EA183" s="31"/>
      <c r="EB183" s="31"/>
      <c r="EC183" s="31"/>
      <c r="ED183" s="31"/>
      <c r="EE183" s="31"/>
      <c r="EF183" s="31"/>
      <c r="EG183" s="31"/>
      <c r="EH183" s="31"/>
      <c r="EI183" s="31"/>
      <c r="EJ183" s="31"/>
      <c r="EK183" s="31"/>
      <c r="EL183" s="31"/>
      <c r="EM183" s="31"/>
      <c r="EN183" s="31"/>
      <c r="EO183" s="31"/>
      <c r="EP183" s="31"/>
      <c r="EQ183" s="31"/>
      <c r="ER183" s="31"/>
      <c r="ES183" s="31"/>
      <c r="ET183" s="31"/>
      <c r="EU183" s="31"/>
      <c r="EV183" s="31"/>
      <c r="EW183" s="31"/>
      <c r="EX183" s="31"/>
      <c r="EY183" s="31"/>
      <c r="EZ183" s="31"/>
      <c r="FA183" s="31"/>
      <c r="FB183" s="31"/>
      <c r="FC183" s="31"/>
      <c r="FD183" s="31"/>
      <c r="FE183" s="31"/>
      <c r="FF183" s="31"/>
      <c r="FG183" s="31"/>
      <c r="FH183" s="31"/>
      <c r="FI183" s="31"/>
      <c r="FJ183" s="31"/>
      <c r="FK183" s="31"/>
      <c r="FL183" s="31"/>
      <c r="FM183" s="31"/>
      <c r="FN183" s="31"/>
      <c r="FO183" s="31"/>
      <c r="FP183" s="31"/>
      <c r="FQ183" s="31"/>
      <c r="FR183" s="31"/>
      <c r="FS183" s="31"/>
      <c r="FT183" s="31"/>
      <c r="FU183" s="31"/>
      <c r="FV183" s="31"/>
      <c r="FW183" s="31"/>
      <c r="FX183" s="31"/>
      <c r="FY183" s="31"/>
      <c r="FZ183" s="31"/>
      <c r="GA183" s="31"/>
      <c r="GB183" s="31"/>
      <c r="GC183" s="31"/>
      <c r="GD183" s="31"/>
      <c r="GE183" s="31"/>
      <c r="GF183" s="31"/>
      <c r="GG183" s="31"/>
      <c r="GH183" s="31"/>
      <c r="GI183" s="31"/>
      <c r="GJ183" s="31"/>
      <c r="GK183" s="31"/>
      <c r="GL183" s="31"/>
      <c r="GM183" s="31"/>
      <c r="GN183" s="31"/>
      <c r="GO183" s="31"/>
      <c r="GP183" s="31"/>
      <c r="GQ183" s="31"/>
      <c r="GR183" s="31"/>
      <c r="GS183" s="31"/>
      <c r="GT183" s="31"/>
      <c r="GU183" s="31"/>
      <c r="GV183" s="31"/>
      <c r="GW183" s="31"/>
      <c r="GX183" s="31"/>
      <c r="GY183" s="31"/>
      <c r="GZ183" s="31"/>
      <c r="HA183" s="31"/>
      <c r="HB183" s="31"/>
      <c r="HC183" s="31"/>
      <c r="HD183" s="31"/>
    </row>
    <row r="184" spans="1:212" s="32" customFormat="1" x14ac:dyDescent="0.25">
      <c r="A184" s="123">
        <v>14501179</v>
      </c>
      <c r="B184" s="70" t="s">
        <v>244</v>
      </c>
      <c r="C184" s="70" t="s">
        <v>269</v>
      </c>
      <c r="D184" s="114"/>
      <c r="E184" s="115" t="s">
        <v>78</v>
      </c>
      <c r="F184" s="70"/>
      <c r="G184" s="70"/>
      <c r="H184" s="115" t="s">
        <v>249</v>
      </c>
      <c r="I184" s="70"/>
      <c r="J184" s="70"/>
      <c r="K184" s="117"/>
      <c r="L184" s="31"/>
      <c r="M184" s="31"/>
      <c r="N184" s="12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  <c r="BS184" s="31"/>
      <c r="BT184" s="31"/>
      <c r="BU184" s="31"/>
      <c r="BV184" s="31"/>
      <c r="BW184" s="31"/>
      <c r="BX184" s="31"/>
      <c r="BY184" s="31"/>
      <c r="BZ184" s="31"/>
      <c r="CA184" s="31"/>
      <c r="CB184" s="31"/>
      <c r="CC184" s="31"/>
      <c r="CD184" s="31"/>
      <c r="CE184" s="31"/>
      <c r="CF184" s="31"/>
      <c r="CG184" s="31"/>
      <c r="CH184" s="31"/>
      <c r="CI184" s="31"/>
      <c r="CJ184" s="31"/>
      <c r="CK184" s="31"/>
      <c r="CL184" s="31"/>
      <c r="CM184" s="31"/>
      <c r="CN184" s="31"/>
      <c r="CO184" s="31"/>
      <c r="CP184" s="31"/>
      <c r="CQ184" s="31"/>
      <c r="CR184" s="31"/>
      <c r="CS184" s="31"/>
      <c r="CT184" s="31"/>
      <c r="CU184" s="31"/>
      <c r="CV184" s="31"/>
      <c r="CW184" s="31"/>
      <c r="CX184" s="31"/>
      <c r="CY184" s="31"/>
      <c r="CZ184" s="31"/>
      <c r="DA184" s="31"/>
      <c r="DB184" s="31"/>
      <c r="DC184" s="31"/>
      <c r="DD184" s="31"/>
      <c r="DE184" s="31"/>
      <c r="DF184" s="31"/>
      <c r="DG184" s="31"/>
      <c r="DH184" s="31"/>
      <c r="DI184" s="31"/>
      <c r="DJ184" s="31"/>
      <c r="DK184" s="31"/>
      <c r="DL184" s="31"/>
      <c r="DM184" s="31"/>
      <c r="DN184" s="31"/>
      <c r="DO184" s="31"/>
      <c r="DP184" s="31"/>
      <c r="DQ184" s="31"/>
      <c r="DR184" s="31"/>
      <c r="DS184" s="31"/>
      <c r="DT184" s="31"/>
      <c r="DU184" s="31"/>
      <c r="DV184" s="31"/>
      <c r="DW184" s="31"/>
      <c r="DX184" s="31"/>
      <c r="DY184" s="31"/>
      <c r="DZ184" s="31"/>
      <c r="EA184" s="31"/>
      <c r="EB184" s="31"/>
      <c r="EC184" s="31"/>
      <c r="ED184" s="31"/>
      <c r="EE184" s="31"/>
      <c r="EF184" s="31"/>
      <c r="EG184" s="31"/>
      <c r="EH184" s="31"/>
      <c r="EI184" s="31"/>
      <c r="EJ184" s="31"/>
      <c r="EK184" s="31"/>
      <c r="EL184" s="31"/>
      <c r="EM184" s="31"/>
      <c r="EN184" s="31"/>
      <c r="EO184" s="31"/>
      <c r="EP184" s="31"/>
      <c r="EQ184" s="31"/>
      <c r="ER184" s="31"/>
      <c r="ES184" s="31"/>
      <c r="ET184" s="31"/>
      <c r="EU184" s="31"/>
      <c r="EV184" s="31"/>
      <c r="EW184" s="31"/>
      <c r="EX184" s="31"/>
      <c r="EY184" s="31"/>
      <c r="EZ184" s="31"/>
      <c r="FA184" s="31"/>
      <c r="FB184" s="31"/>
      <c r="FC184" s="31"/>
      <c r="FD184" s="31"/>
      <c r="FE184" s="31"/>
      <c r="FF184" s="31"/>
      <c r="FG184" s="31"/>
      <c r="FH184" s="31"/>
      <c r="FI184" s="31"/>
      <c r="FJ184" s="31"/>
      <c r="FK184" s="31"/>
      <c r="FL184" s="31"/>
      <c r="FM184" s="31"/>
      <c r="FN184" s="31"/>
      <c r="FO184" s="31"/>
      <c r="FP184" s="31"/>
      <c r="FQ184" s="31"/>
      <c r="FR184" s="31"/>
      <c r="FS184" s="31"/>
      <c r="FT184" s="31"/>
      <c r="FU184" s="31"/>
      <c r="FV184" s="31"/>
      <c r="FW184" s="31"/>
      <c r="FX184" s="31"/>
      <c r="FY184" s="31"/>
      <c r="FZ184" s="31"/>
      <c r="GA184" s="31"/>
      <c r="GB184" s="31"/>
      <c r="GC184" s="31"/>
      <c r="GD184" s="31"/>
      <c r="GE184" s="31"/>
      <c r="GF184" s="31"/>
      <c r="GG184" s="31"/>
      <c r="GH184" s="31"/>
      <c r="GI184" s="31"/>
      <c r="GJ184" s="31"/>
      <c r="GK184" s="31"/>
      <c r="GL184" s="31"/>
      <c r="GM184" s="31"/>
      <c r="GN184" s="31"/>
      <c r="GO184" s="31"/>
      <c r="GP184" s="31"/>
      <c r="GQ184" s="31"/>
      <c r="GR184" s="31"/>
      <c r="GS184" s="31"/>
      <c r="GT184" s="31"/>
      <c r="GU184" s="31"/>
      <c r="GV184" s="31"/>
      <c r="GW184" s="31"/>
      <c r="GX184" s="31"/>
      <c r="GY184" s="31"/>
      <c r="GZ184" s="31"/>
      <c r="HA184" s="31"/>
      <c r="HB184" s="31"/>
      <c r="HC184" s="31"/>
      <c r="HD184" s="31"/>
    </row>
    <row r="185" spans="1:212" x14ac:dyDescent="0.25">
      <c r="A185" s="123">
        <v>14501180</v>
      </c>
      <c r="B185" s="70" t="s">
        <v>245</v>
      </c>
      <c r="C185" s="70" t="s">
        <v>269</v>
      </c>
      <c r="D185" s="114"/>
      <c r="E185" s="115" t="s">
        <v>78</v>
      </c>
      <c r="F185" s="70"/>
      <c r="G185" s="70"/>
      <c r="H185" s="115" t="s">
        <v>249</v>
      </c>
      <c r="I185" s="70"/>
      <c r="J185" s="70"/>
      <c r="K185" s="117"/>
      <c r="L185" s="31"/>
      <c r="M185" s="31"/>
      <c r="N185" s="12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  <c r="CJ185" s="31"/>
      <c r="CK185" s="31"/>
      <c r="CL185" s="31"/>
      <c r="CM185" s="31"/>
      <c r="CN185" s="31"/>
      <c r="CO185" s="31"/>
      <c r="CP185" s="31"/>
      <c r="CQ185" s="31"/>
      <c r="CR185" s="31"/>
      <c r="CS185" s="31"/>
      <c r="CT185" s="31"/>
      <c r="CU185" s="31"/>
      <c r="CV185" s="31"/>
      <c r="CW185" s="31"/>
      <c r="CX185" s="31"/>
      <c r="CY185" s="31"/>
      <c r="CZ185" s="31"/>
      <c r="DA185" s="31"/>
      <c r="DB185" s="31"/>
      <c r="DC185" s="31"/>
      <c r="DD185" s="31"/>
      <c r="DE185" s="31"/>
      <c r="DF185" s="31"/>
      <c r="DG185" s="31"/>
      <c r="DH185" s="31"/>
      <c r="DI185" s="31"/>
      <c r="DJ185" s="31"/>
      <c r="DK185" s="31"/>
      <c r="DL185" s="31"/>
      <c r="DM185" s="31"/>
      <c r="DN185" s="31"/>
      <c r="DO185" s="31"/>
      <c r="DP185" s="31"/>
      <c r="DQ185" s="31"/>
      <c r="DR185" s="31"/>
      <c r="DS185" s="31"/>
      <c r="DT185" s="31"/>
      <c r="DU185" s="31"/>
      <c r="DV185" s="31"/>
      <c r="DW185" s="31"/>
      <c r="DX185" s="31"/>
      <c r="DY185" s="31"/>
      <c r="DZ185" s="31"/>
      <c r="EA185" s="31"/>
      <c r="EB185" s="31"/>
      <c r="EC185" s="31"/>
      <c r="ED185" s="31"/>
      <c r="EE185" s="31"/>
      <c r="EF185" s="31"/>
      <c r="EG185" s="31"/>
      <c r="EH185" s="31"/>
      <c r="EI185" s="31"/>
      <c r="EJ185" s="31"/>
      <c r="EK185" s="31"/>
      <c r="EL185" s="31"/>
      <c r="EM185" s="31"/>
      <c r="EN185" s="31"/>
      <c r="EO185" s="31"/>
      <c r="EP185" s="31"/>
      <c r="EQ185" s="31"/>
      <c r="ER185" s="31"/>
      <c r="ES185" s="31"/>
      <c r="ET185" s="31"/>
      <c r="EU185" s="31"/>
      <c r="EV185" s="31"/>
      <c r="EW185" s="31"/>
      <c r="EX185" s="31"/>
      <c r="EY185" s="31"/>
      <c r="EZ185" s="31"/>
      <c r="FA185" s="31"/>
      <c r="FB185" s="31"/>
      <c r="FC185" s="31"/>
      <c r="FD185" s="31"/>
      <c r="FE185" s="31"/>
      <c r="FF185" s="31"/>
      <c r="FG185" s="31"/>
      <c r="FH185" s="31"/>
      <c r="FI185" s="31"/>
      <c r="FJ185" s="31"/>
      <c r="FK185" s="31"/>
      <c r="FL185" s="31"/>
      <c r="FM185" s="31"/>
      <c r="FN185" s="31"/>
      <c r="FO185" s="31"/>
      <c r="FP185" s="31"/>
      <c r="FQ185" s="31"/>
      <c r="FR185" s="31"/>
      <c r="FS185" s="31"/>
      <c r="FT185" s="31"/>
      <c r="FU185" s="31"/>
      <c r="FV185" s="31"/>
      <c r="FW185" s="31"/>
      <c r="FX185" s="31"/>
      <c r="FY185" s="31"/>
      <c r="FZ185" s="31"/>
      <c r="GA185" s="31"/>
      <c r="GB185" s="31"/>
      <c r="GC185" s="31"/>
      <c r="GD185" s="31"/>
      <c r="GE185" s="31"/>
      <c r="GF185" s="31"/>
      <c r="GG185" s="31"/>
      <c r="GH185" s="31"/>
      <c r="GI185" s="31"/>
      <c r="GJ185" s="31"/>
      <c r="GK185" s="31"/>
      <c r="GL185" s="31"/>
      <c r="GM185" s="31"/>
      <c r="GN185" s="31"/>
      <c r="GO185" s="31"/>
      <c r="GP185" s="31"/>
      <c r="GQ185" s="31"/>
      <c r="GR185" s="31"/>
      <c r="GS185" s="31"/>
      <c r="GT185" s="31"/>
      <c r="GU185" s="31"/>
      <c r="GV185" s="31"/>
      <c r="GW185" s="31"/>
      <c r="GX185" s="31"/>
      <c r="GY185" s="31"/>
      <c r="GZ185" s="31"/>
      <c r="HA185" s="31"/>
      <c r="HB185" s="31"/>
      <c r="HC185" s="31"/>
      <c r="HD185" s="31"/>
    </row>
    <row r="186" spans="1:212" s="32" customFormat="1" x14ac:dyDescent="0.25">
      <c r="A186" s="123">
        <v>14501181</v>
      </c>
      <c r="B186" s="70" t="s">
        <v>246</v>
      </c>
      <c r="C186" s="70" t="s">
        <v>269</v>
      </c>
      <c r="D186" s="114"/>
      <c r="E186" s="115" t="s">
        <v>77</v>
      </c>
      <c r="F186" s="70"/>
      <c r="G186" s="70"/>
      <c r="H186" s="115" t="s">
        <v>249</v>
      </c>
      <c r="I186" s="70"/>
      <c r="J186" s="70"/>
      <c r="K186" s="117"/>
      <c r="L186" s="31"/>
      <c r="M186" s="31"/>
      <c r="N186" s="12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  <c r="BS186" s="31"/>
      <c r="BT186" s="31"/>
      <c r="BU186" s="31"/>
      <c r="BV186" s="31"/>
      <c r="BW186" s="31"/>
      <c r="BX186" s="31"/>
      <c r="BY186" s="31"/>
      <c r="BZ186" s="31"/>
      <c r="CA186" s="31"/>
      <c r="CB186" s="31"/>
      <c r="CC186" s="31"/>
      <c r="CD186" s="31"/>
      <c r="CE186" s="31"/>
      <c r="CF186" s="31"/>
      <c r="CG186" s="31"/>
      <c r="CH186" s="31"/>
      <c r="CI186" s="31"/>
      <c r="CJ186" s="31"/>
      <c r="CK186" s="31"/>
      <c r="CL186" s="31"/>
      <c r="CM186" s="31"/>
      <c r="CN186" s="31"/>
      <c r="CO186" s="31"/>
      <c r="CP186" s="31"/>
      <c r="CQ186" s="31"/>
      <c r="CR186" s="31"/>
      <c r="CS186" s="31"/>
      <c r="CT186" s="31"/>
      <c r="CU186" s="31"/>
      <c r="CV186" s="31"/>
      <c r="CW186" s="31"/>
      <c r="CX186" s="31"/>
      <c r="CY186" s="31"/>
      <c r="CZ186" s="31"/>
      <c r="DA186" s="31"/>
      <c r="DB186" s="31"/>
      <c r="DC186" s="31"/>
      <c r="DD186" s="31"/>
      <c r="DE186" s="31"/>
      <c r="DF186" s="31"/>
      <c r="DG186" s="31"/>
      <c r="DH186" s="31"/>
      <c r="DI186" s="31"/>
      <c r="DJ186" s="31"/>
      <c r="DK186" s="31"/>
      <c r="DL186" s="31"/>
      <c r="DM186" s="31"/>
      <c r="DN186" s="31"/>
      <c r="DO186" s="31"/>
      <c r="DP186" s="31"/>
      <c r="DQ186" s="31"/>
      <c r="DR186" s="31"/>
      <c r="DS186" s="31"/>
      <c r="DT186" s="31"/>
      <c r="DU186" s="31"/>
      <c r="DV186" s="31"/>
      <c r="DW186" s="31"/>
      <c r="DX186" s="31"/>
      <c r="DY186" s="31"/>
      <c r="DZ186" s="31"/>
      <c r="EA186" s="31"/>
      <c r="EB186" s="31"/>
      <c r="EC186" s="31"/>
      <c r="ED186" s="31"/>
      <c r="EE186" s="31"/>
      <c r="EF186" s="31"/>
      <c r="EG186" s="31"/>
      <c r="EH186" s="31"/>
      <c r="EI186" s="31"/>
      <c r="EJ186" s="31"/>
      <c r="EK186" s="31"/>
      <c r="EL186" s="31"/>
      <c r="EM186" s="31"/>
      <c r="EN186" s="31"/>
      <c r="EO186" s="31"/>
      <c r="EP186" s="31"/>
      <c r="EQ186" s="31"/>
      <c r="ER186" s="31"/>
      <c r="ES186" s="31"/>
      <c r="ET186" s="31"/>
      <c r="EU186" s="31"/>
      <c r="EV186" s="31"/>
      <c r="EW186" s="31"/>
      <c r="EX186" s="31"/>
      <c r="EY186" s="31"/>
      <c r="EZ186" s="31"/>
      <c r="FA186" s="31"/>
      <c r="FB186" s="31"/>
      <c r="FC186" s="31"/>
      <c r="FD186" s="31"/>
      <c r="FE186" s="31"/>
      <c r="FF186" s="31"/>
      <c r="FG186" s="31"/>
      <c r="FH186" s="31"/>
      <c r="FI186" s="31"/>
      <c r="FJ186" s="31"/>
      <c r="FK186" s="31"/>
      <c r="FL186" s="31"/>
      <c r="FM186" s="31"/>
      <c r="FN186" s="31"/>
      <c r="FO186" s="31"/>
      <c r="FP186" s="31"/>
      <c r="FQ186" s="31"/>
      <c r="FR186" s="31"/>
      <c r="FS186" s="31"/>
      <c r="FT186" s="31"/>
      <c r="FU186" s="31"/>
      <c r="FV186" s="31"/>
      <c r="FW186" s="31"/>
      <c r="FX186" s="31"/>
      <c r="FY186" s="31"/>
      <c r="FZ186" s="31"/>
      <c r="GA186" s="31"/>
      <c r="GB186" s="31"/>
      <c r="GC186" s="31"/>
      <c r="GD186" s="31"/>
      <c r="GE186" s="31"/>
      <c r="GF186" s="31"/>
      <c r="GG186" s="31"/>
      <c r="GH186" s="31"/>
      <c r="GI186" s="31"/>
      <c r="GJ186" s="31"/>
      <c r="GK186" s="31"/>
      <c r="GL186" s="31"/>
      <c r="GM186" s="31"/>
      <c r="GN186" s="31"/>
      <c r="GO186" s="31"/>
      <c r="GP186" s="31"/>
      <c r="GQ186" s="31"/>
      <c r="GR186" s="31"/>
      <c r="GS186" s="31"/>
      <c r="GT186" s="31"/>
      <c r="GU186" s="31"/>
      <c r="GV186" s="31"/>
      <c r="GW186" s="31"/>
      <c r="GX186" s="31"/>
      <c r="GY186" s="31"/>
      <c r="GZ186" s="31"/>
      <c r="HA186" s="31"/>
      <c r="HB186" s="31"/>
      <c r="HC186" s="31"/>
      <c r="HD186" s="31"/>
    </row>
    <row r="187" spans="1:212" x14ac:dyDescent="0.25">
      <c r="A187" s="124">
        <v>14501182</v>
      </c>
      <c r="B187" s="72" t="s">
        <v>247</v>
      </c>
      <c r="C187" s="72" t="s">
        <v>269</v>
      </c>
      <c r="D187" s="119"/>
      <c r="E187" s="120" t="s">
        <v>78</v>
      </c>
      <c r="F187" s="72"/>
      <c r="G187" s="72"/>
      <c r="H187" s="120" t="s">
        <v>249</v>
      </c>
      <c r="I187" s="72"/>
      <c r="J187" s="72"/>
      <c r="K187" s="121"/>
      <c r="L187" s="31"/>
      <c r="M187" s="31"/>
      <c r="N187" s="12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  <c r="BS187" s="31"/>
      <c r="BT187" s="31"/>
      <c r="BU187" s="31"/>
      <c r="BV187" s="31"/>
      <c r="BW187" s="31"/>
      <c r="BX187" s="31"/>
      <c r="BY187" s="31"/>
      <c r="BZ187" s="31"/>
      <c r="CA187" s="31"/>
      <c r="CB187" s="31"/>
      <c r="CC187" s="31"/>
      <c r="CD187" s="31"/>
      <c r="CE187" s="31"/>
      <c r="CF187" s="31"/>
      <c r="CG187" s="31"/>
      <c r="CH187" s="31"/>
      <c r="CI187" s="31"/>
      <c r="CJ187" s="31"/>
      <c r="CK187" s="31"/>
      <c r="CL187" s="31"/>
      <c r="CM187" s="31"/>
      <c r="CN187" s="31"/>
      <c r="CO187" s="31"/>
      <c r="CP187" s="31"/>
      <c r="CQ187" s="31"/>
      <c r="CR187" s="31"/>
      <c r="CS187" s="31"/>
      <c r="CT187" s="31"/>
      <c r="CU187" s="31"/>
      <c r="CV187" s="31"/>
      <c r="CW187" s="31"/>
      <c r="CX187" s="31"/>
      <c r="CY187" s="31"/>
      <c r="CZ187" s="31"/>
      <c r="DA187" s="31"/>
      <c r="DB187" s="31"/>
      <c r="DC187" s="31"/>
      <c r="DD187" s="31"/>
      <c r="DE187" s="31"/>
      <c r="DF187" s="31"/>
      <c r="DG187" s="31"/>
      <c r="DH187" s="31"/>
      <c r="DI187" s="31"/>
      <c r="DJ187" s="31"/>
      <c r="DK187" s="31"/>
      <c r="DL187" s="31"/>
      <c r="DM187" s="31"/>
      <c r="DN187" s="31"/>
      <c r="DO187" s="31"/>
      <c r="DP187" s="31"/>
      <c r="DQ187" s="31"/>
      <c r="DR187" s="31"/>
      <c r="DS187" s="31"/>
      <c r="DT187" s="31"/>
      <c r="DU187" s="31"/>
      <c r="DV187" s="31"/>
      <c r="DW187" s="31"/>
      <c r="DX187" s="31"/>
      <c r="DY187" s="31"/>
      <c r="DZ187" s="31"/>
      <c r="EA187" s="31"/>
      <c r="EB187" s="31"/>
      <c r="EC187" s="31"/>
      <c r="ED187" s="31"/>
      <c r="EE187" s="31"/>
      <c r="EF187" s="31"/>
      <c r="EG187" s="31"/>
      <c r="EH187" s="31"/>
      <c r="EI187" s="31"/>
      <c r="EJ187" s="31"/>
      <c r="EK187" s="31"/>
      <c r="EL187" s="31"/>
      <c r="EM187" s="31"/>
      <c r="EN187" s="31"/>
      <c r="EO187" s="31"/>
      <c r="EP187" s="31"/>
      <c r="EQ187" s="31"/>
      <c r="ER187" s="31"/>
      <c r="ES187" s="31"/>
      <c r="ET187" s="31"/>
      <c r="EU187" s="31"/>
      <c r="EV187" s="31"/>
      <c r="EW187" s="31"/>
      <c r="EX187" s="31"/>
      <c r="EY187" s="31"/>
      <c r="EZ187" s="31"/>
      <c r="FA187" s="31"/>
      <c r="FB187" s="31"/>
      <c r="FC187" s="31"/>
      <c r="FD187" s="31"/>
      <c r="FE187" s="31"/>
      <c r="FF187" s="31"/>
      <c r="FG187" s="31"/>
      <c r="FH187" s="31"/>
      <c r="FI187" s="31"/>
      <c r="FJ187" s="31"/>
      <c r="FK187" s="31"/>
      <c r="FL187" s="31"/>
      <c r="FM187" s="31"/>
      <c r="FN187" s="31"/>
      <c r="FO187" s="31"/>
      <c r="FP187" s="31"/>
      <c r="FQ187" s="31"/>
      <c r="FR187" s="31"/>
      <c r="FS187" s="31"/>
      <c r="FT187" s="31"/>
      <c r="FU187" s="31"/>
      <c r="FV187" s="31"/>
      <c r="FW187" s="31"/>
      <c r="FX187" s="31"/>
      <c r="FY187" s="31"/>
      <c r="FZ187" s="31"/>
      <c r="GA187" s="31"/>
      <c r="GB187" s="31"/>
      <c r="GC187" s="31"/>
      <c r="GD187" s="31"/>
      <c r="GE187" s="31"/>
      <c r="GF187" s="31"/>
      <c r="GG187" s="31"/>
      <c r="GH187" s="31"/>
      <c r="GI187" s="31"/>
      <c r="GJ187" s="31"/>
      <c r="GK187" s="31"/>
      <c r="GL187" s="31"/>
      <c r="GM187" s="31"/>
      <c r="GN187" s="31"/>
      <c r="GO187" s="31"/>
      <c r="GP187" s="31"/>
      <c r="GQ187" s="31"/>
      <c r="GR187" s="31"/>
      <c r="GS187" s="31"/>
      <c r="GT187" s="31"/>
      <c r="GU187" s="31"/>
      <c r="GV187" s="31"/>
      <c r="GW187" s="31"/>
      <c r="GX187" s="31"/>
      <c r="GY187" s="31"/>
      <c r="GZ187" s="31"/>
      <c r="HA187" s="31"/>
      <c r="HB187" s="31"/>
      <c r="HC187" s="31"/>
      <c r="HD187" s="31"/>
    </row>
    <row r="188" spans="1:212" x14ac:dyDescent="0.25">
      <c r="A188" s="123">
        <v>14501183</v>
      </c>
      <c r="B188" s="70" t="s">
        <v>248</v>
      </c>
      <c r="C188" s="70" t="s">
        <v>269</v>
      </c>
      <c r="D188" s="114"/>
      <c r="E188" s="115" t="s">
        <v>78</v>
      </c>
      <c r="F188" s="70"/>
      <c r="G188" s="70"/>
      <c r="H188" s="115" t="s">
        <v>249</v>
      </c>
      <c r="I188" s="70"/>
      <c r="J188" s="70"/>
      <c r="K188" s="117"/>
      <c r="L188" s="132"/>
      <c r="M188" s="12"/>
      <c r="N188" s="12"/>
      <c r="O188" s="12"/>
      <c r="P188" s="12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  <c r="BS188" s="31"/>
      <c r="BT188" s="31"/>
      <c r="BU188" s="31"/>
      <c r="BV188" s="31"/>
      <c r="BW188" s="31"/>
      <c r="BX188" s="31"/>
      <c r="BY188" s="31"/>
      <c r="BZ188" s="31"/>
      <c r="CA188" s="31"/>
      <c r="CB188" s="31"/>
      <c r="CC188" s="31"/>
      <c r="CD188" s="31"/>
      <c r="CE188" s="31"/>
      <c r="CF188" s="31"/>
      <c r="CG188" s="31"/>
      <c r="CH188" s="31"/>
      <c r="CI188" s="31"/>
      <c r="CJ188" s="31"/>
      <c r="CK188" s="31"/>
      <c r="CL188" s="31"/>
      <c r="CM188" s="31"/>
      <c r="CN188" s="31"/>
      <c r="CO188" s="31"/>
      <c r="CP188" s="31"/>
      <c r="CQ188" s="31"/>
      <c r="CR188" s="31"/>
      <c r="CS188" s="31"/>
      <c r="CT188" s="31"/>
      <c r="CU188" s="31"/>
      <c r="CV188" s="31"/>
      <c r="CW188" s="31"/>
    </row>
    <row r="189" spans="1:212" x14ac:dyDescent="0.25">
      <c r="A189" s="136"/>
      <c r="B189" s="12"/>
      <c r="C189" s="12"/>
      <c r="D189" s="137"/>
      <c r="E189" s="138"/>
      <c r="F189" s="12"/>
      <c r="G189" s="12"/>
      <c r="H189" s="138"/>
      <c r="I189" s="12"/>
      <c r="J189" s="12"/>
      <c r="K189" s="139"/>
      <c r="L189" s="90"/>
      <c r="M189" s="90"/>
      <c r="N189" s="90"/>
      <c r="O189" s="90"/>
      <c r="P189" s="90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  <c r="BS189" s="31"/>
      <c r="BT189" s="31"/>
      <c r="BU189" s="31"/>
      <c r="BV189" s="31"/>
      <c r="BW189" s="31"/>
      <c r="BX189" s="31"/>
      <c r="BY189" s="31"/>
      <c r="BZ189" s="31"/>
      <c r="CA189" s="31"/>
      <c r="CB189" s="31"/>
      <c r="CC189" s="31"/>
      <c r="CD189" s="31"/>
      <c r="CE189" s="31"/>
      <c r="CF189" s="31"/>
      <c r="CG189" s="31"/>
      <c r="CH189" s="31"/>
      <c r="CI189" s="31"/>
      <c r="CJ189" s="31"/>
      <c r="CK189" s="31"/>
      <c r="CL189" s="31"/>
      <c r="CM189" s="31"/>
      <c r="CN189" s="31"/>
      <c r="CO189" s="31"/>
      <c r="CP189" s="31"/>
      <c r="CQ189" s="31"/>
      <c r="CR189" s="31"/>
      <c r="CS189" s="31"/>
      <c r="CT189" s="31"/>
      <c r="CU189" s="31"/>
      <c r="CV189" s="31"/>
      <c r="CW189" s="31"/>
    </row>
    <row r="190" spans="1:212" x14ac:dyDescent="0.25">
      <c r="A190" s="136"/>
      <c r="B190" s="12"/>
      <c r="C190" s="12"/>
      <c r="D190" s="137"/>
      <c r="E190" s="138"/>
      <c r="F190" s="12"/>
      <c r="G190" s="12"/>
      <c r="H190" s="138"/>
      <c r="I190" s="12"/>
      <c r="J190" s="12"/>
      <c r="K190" s="139"/>
      <c r="L190" s="90"/>
      <c r="M190" s="90"/>
      <c r="N190" s="90"/>
      <c r="O190" s="90"/>
      <c r="P190" s="90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  <c r="BS190" s="31"/>
      <c r="BT190" s="31"/>
      <c r="BU190" s="31"/>
      <c r="BV190" s="31"/>
      <c r="BW190" s="31"/>
      <c r="BX190" s="31"/>
      <c r="BY190" s="31"/>
      <c r="BZ190" s="31"/>
      <c r="CA190" s="31"/>
      <c r="CB190" s="31"/>
      <c r="CC190" s="31"/>
      <c r="CD190" s="31"/>
      <c r="CE190" s="31"/>
      <c r="CF190" s="31"/>
      <c r="CG190" s="31"/>
      <c r="CH190" s="31"/>
      <c r="CI190" s="31"/>
      <c r="CJ190" s="31"/>
      <c r="CK190" s="31"/>
      <c r="CL190" s="31"/>
      <c r="CM190" s="31"/>
      <c r="CN190" s="31"/>
      <c r="CO190" s="31"/>
      <c r="CP190" s="31"/>
      <c r="CQ190" s="31"/>
      <c r="CR190" s="31"/>
      <c r="CS190" s="31"/>
      <c r="CT190" s="31"/>
      <c r="CU190" s="31"/>
      <c r="CV190" s="31"/>
      <c r="CW190" s="31"/>
    </row>
    <row r="191" spans="1:212" x14ac:dyDescent="0.25">
      <c r="A191" s="125"/>
      <c r="B191" s="90"/>
      <c r="C191" s="90"/>
      <c r="D191" s="126"/>
      <c r="E191" s="127"/>
      <c r="F191" s="90"/>
      <c r="G191" s="90"/>
      <c r="H191" s="127"/>
      <c r="I191" s="90"/>
      <c r="J191" s="90"/>
      <c r="K191" s="128"/>
      <c r="L191" s="90"/>
      <c r="M191" s="90"/>
      <c r="N191" s="90"/>
      <c r="O191" s="90"/>
      <c r="P191" s="90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  <c r="BS191" s="31"/>
      <c r="BT191" s="31"/>
      <c r="BU191" s="31"/>
      <c r="BV191" s="31"/>
      <c r="BW191" s="31"/>
      <c r="BX191" s="31"/>
      <c r="BY191" s="31"/>
      <c r="BZ191" s="31"/>
      <c r="CA191" s="31"/>
      <c r="CB191" s="31"/>
      <c r="CC191" s="31"/>
      <c r="CD191" s="31"/>
      <c r="CE191" s="31"/>
      <c r="CF191" s="31"/>
      <c r="CG191" s="31"/>
      <c r="CH191" s="31"/>
      <c r="CI191" s="31"/>
      <c r="CJ191" s="31"/>
      <c r="CK191" s="31"/>
      <c r="CL191" s="31"/>
      <c r="CM191" s="31"/>
      <c r="CN191" s="31"/>
      <c r="CO191" s="31"/>
      <c r="CP191" s="31"/>
      <c r="CQ191" s="31"/>
      <c r="CR191" s="31"/>
      <c r="CS191" s="31"/>
      <c r="CT191" s="31"/>
      <c r="CU191" s="31"/>
      <c r="CV191" s="31"/>
      <c r="CW191" s="31"/>
    </row>
    <row r="192" spans="1:212" x14ac:dyDescent="0.25">
      <c r="A192" s="129"/>
      <c r="B192" s="130"/>
      <c r="C192" s="130"/>
      <c r="D192" s="131"/>
      <c r="E192" s="130"/>
      <c r="F192" s="130"/>
      <c r="G192" s="130"/>
      <c r="H192" s="130"/>
      <c r="I192" s="130"/>
      <c r="J192" s="130"/>
      <c r="K192" s="90"/>
      <c r="L192" s="90"/>
      <c r="M192" s="90"/>
      <c r="N192" s="90"/>
      <c r="O192" s="90"/>
      <c r="P192" s="90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  <c r="BS192" s="31"/>
      <c r="BT192" s="31"/>
      <c r="BU192" s="31"/>
      <c r="BV192" s="31"/>
      <c r="BW192" s="31"/>
      <c r="BX192" s="31"/>
      <c r="BY192" s="31"/>
      <c r="BZ192" s="31"/>
      <c r="CA192" s="31"/>
      <c r="CB192" s="31"/>
      <c r="CC192" s="31"/>
      <c r="CD192" s="31"/>
      <c r="CE192" s="31"/>
      <c r="CF192" s="31"/>
      <c r="CG192" s="31"/>
      <c r="CH192" s="31"/>
      <c r="CI192" s="31"/>
      <c r="CJ192" s="31"/>
      <c r="CK192" s="31"/>
      <c r="CL192" s="31"/>
      <c r="CM192" s="31"/>
      <c r="CN192" s="31"/>
      <c r="CO192" s="31"/>
      <c r="CP192" s="31"/>
      <c r="CQ192" s="31"/>
      <c r="CR192" s="31"/>
      <c r="CS192" s="31"/>
      <c r="CT192" s="31"/>
      <c r="CU192" s="31"/>
      <c r="CV192" s="31"/>
      <c r="CW192" s="31"/>
    </row>
    <row r="193" spans="1:101" x14ac:dyDescent="0.25">
      <c r="A193" s="129"/>
      <c r="B193" s="130"/>
      <c r="C193" s="130"/>
      <c r="D193" s="131"/>
      <c r="E193" s="130"/>
      <c r="F193" s="130"/>
      <c r="G193" s="130"/>
      <c r="H193" s="130"/>
      <c r="I193" s="130"/>
      <c r="J193" s="130"/>
      <c r="K193" s="90"/>
      <c r="L193" s="90"/>
      <c r="M193" s="90"/>
      <c r="N193" s="90"/>
      <c r="O193" s="90"/>
      <c r="P193" s="90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  <c r="BS193" s="31"/>
      <c r="BT193" s="31"/>
      <c r="BU193" s="31"/>
      <c r="BV193" s="31"/>
      <c r="BW193" s="31"/>
      <c r="BX193" s="31"/>
      <c r="BY193" s="31"/>
      <c r="BZ193" s="31"/>
      <c r="CA193" s="31"/>
      <c r="CB193" s="31"/>
      <c r="CC193" s="31"/>
      <c r="CD193" s="31"/>
      <c r="CE193" s="31"/>
      <c r="CF193" s="31"/>
      <c r="CG193" s="31"/>
      <c r="CH193" s="31"/>
      <c r="CI193" s="31"/>
      <c r="CJ193" s="31"/>
      <c r="CK193" s="31"/>
      <c r="CL193" s="31"/>
      <c r="CM193" s="31"/>
      <c r="CN193" s="31"/>
      <c r="CO193" s="31"/>
      <c r="CP193" s="31"/>
      <c r="CQ193" s="31"/>
      <c r="CR193" s="31"/>
      <c r="CS193" s="31"/>
      <c r="CT193" s="31"/>
      <c r="CU193" s="31"/>
      <c r="CV193" s="31"/>
      <c r="CW193" s="31"/>
    </row>
    <row r="194" spans="1:101" x14ac:dyDescent="0.25">
      <c r="A194" s="129"/>
      <c r="B194" s="130"/>
      <c r="C194" s="130"/>
      <c r="D194" s="131"/>
      <c r="E194" s="130"/>
      <c r="F194" s="130"/>
      <c r="G194" s="130"/>
      <c r="H194" s="130"/>
      <c r="I194" s="130"/>
      <c r="J194" s="130"/>
      <c r="K194" s="90"/>
      <c r="L194" s="90"/>
      <c r="M194" s="90"/>
      <c r="N194" s="90"/>
      <c r="O194" s="90"/>
      <c r="P194" s="90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  <c r="BS194" s="31"/>
      <c r="BT194" s="31"/>
      <c r="BU194" s="31"/>
      <c r="BV194" s="31"/>
      <c r="BW194" s="31"/>
      <c r="BX194" s="31"/>
      <c r="BY194" s="31"/>
      <c r="BZ194" s="31"/>
      <c r="CA194" s="31"/>
      <c r="CB194" s="31"/>
      <c r="CC194" s="31"/>
      <c r="CD194" s="31"/>
      <c r="CE194" s="31"/>
      <c r="CF194" s="31"/>
      <c r="CG194" s="31"/>
      <c r="CH194" s="31"/>
      <c r="CI194" s="31"/>
      <c r="CJ194" s="31"/>
      <c r="CK194" s="31"/>
      <c r="CL194" s="31"/>
      <c r="CM194" s="31"/>
      <c r="CN194" s="31"/>
      <c r="CO194" s="31"/>
      <c r="CP194" s="31"/>
      <c r="CQ194" s="31"/>
      <c r="CR194" s="31"/>
      <c r="CS194" s="31"/>
      <c r="CT194" s="31"/>
      <c r="CU194" s="31"/>
      <c r="CV194" s="31"/>
      <c r="CW194" s="31"/>
    </row>
    <row r="195" spans="1:101" x14ac:dyDescent="0.25">
      <c r="A195" s="83"/>
      <c r="B195" s="84"/>
      <c r="C195" s="84"/>
      <c r="D195" s="85"/>
      <c r="E195" s="84"/>
      <c r="F195" s="84"/>
      <c r="G195" s="84"/>
      <c r="H195" s="84"/>
      <c r="I195" s="84"/>
      <c r="J195" s="84"/>
      <c r="L195" s="31"/>
      <c r="M195" s="31"/>
      <c r="N195" s="12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  <c r="BS195" s="31"/>
      <c r="BT195" s="31"/>
      <c r="BU195" s="31"/>
      <c r="BV195" s="31"/>
      <c r="BW195" s="31"/>
      <c r="BX195" s="31"/>
      <c r="BY195" s="31"/>
      <c r="BZ195" s="31"/>
      <c r="CA195" s="31"/>
      <c r="CB195" s="31"/>
      <c r="CC195" s="31"/>
      <c r="CD195" s="31"/>
      <c r="CE195" s="31"/>
      <c r="CF195" s="31"/>
      <c r="CG195" s="31"/>
      <c r="CH195" s="31"/>
      <c r="CI195" s="31"/>
      <c r="CJ195" s="31"/>
      <c r="CK195" s="31"/>
      <c r="CL195" s="31"/>
      <c r="CM195" s="31"/>
      <c r="CN195" s="31"/>
      <c r="CO195" s="31"/>
      <c r="CP195" s="31"/>
      <c r="CQ195" s="31"/>
      <c r="CR195" s="31"/>
      <c r="CS195" s="31"/>
      <c r="CT195" s="31"/>
      <c r="CU195" s="31"/>
      <c r="CV195" s="31"/>
      <c r="CW195" s="31"/>
    </row>
    <row r="196" spans="1:101" x14ac:dyDescent="0.25">
      <c r="A196" s="83"/>
      <c r="B196" s="84"/>
      <c r="C196" s="84"/>
      <c r="D196" s="85"/>
      <c r="E196" s="84"/>
      <c r="F196" s="84"/>
      <c r="G196" s="84"/>
      <c r="H196" s="84"/>
      <c r="I196" s="84"/>
      <c r="J196" s="84"/>
      <c r="L196" s="31"/>
      <c r="M196" s="31"/>
      <c r="N196" s="12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  <c r="BS196" s="31"/>
      <c r="BT196" s="31"/>
      <c r="BU196" s="31"/>
      <c r="BV196" s="31"/>
      <c r="BW196" s="31"/>
      <c r="BX196" s="31"/>
      <c r="BY196" s="31"/>
      <c r="BZ196" s="31"/>
      <c r="CA196" s="31"/>
      <c r="CB196" s="31"/>
      <c r="CC196" s="31"/>
      <c r="CD196" s="31"/>
      <c r="CE196" s="31"/>
      <c r="CF196" s="31"/>
      <c r="CG196" s="31"/>
      <c r="CH196" s="31"/>
      <c r="CI196" s="31"/>
      <c r="CJ196" s="31"/>
      <c r="CK196" s="31"/>
      <c r="CL196" s="31"/>
      <c r="CM196" s="31"/>
      <c r="CN196" s="31"/>
      <c r="CO196" s="31"/>
      <c r="CP196" s="31"/>
      <c r="CQ196" s="31"/>
      <c r="CR196" s="31"/>
      <c r="CS196" s="31"/>
      <c r="CT196" s="31"/>
      <c r="CU196" s="31"/>
      <c r="CV196" s="31"/>
      <c r="CW196" s="31"/>
    </row>
    <row r="197" spans="1:101" x14ac:dyDescent="0.25">
      <c r="A197" s="83"/>
      <c r="B197" s="84"/>
      <c r="C197" s="84"/>
      <c r="D197" s="85"/>
      <c r="E197" s="84"/>
      <c r="F197" s="84"/>
      <c r="G197" s="84"/>
      <c r="H197" s="84"/>
      <c r="I197" s="84"/>
      <c r="J197" s="84"/>
      <c r="L197" s="31"/>
      <c r="M197" s="31"/>
      <c r="N197" s="12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  <c r="BS197" s="31"/>
      <c r="BT197" s="31"/>
      <c r="BU197" s="31"/>
      <c r="BV197" s="31"/>
      <c r="BW197" s="31"/>
      <c r="BX197" s="31"/>
      <c r="BY197" s="31"/>
      <c r="BZ197" s="31"/>
      <c r="CA197" s="31"/>
      <c r="CB197" s="31"/>
      <c r="CC197" s="31"/>
      <c r="CD197" s="31"/>
      <c r="CE197" s="31"/>
      <c r="CF197" s="31"/>
      <c r="CG197" s="31"/>
      <c r="CH197" s="31"/>
      <c r="CI197" s="31"/>
      <c r="CJ197" s="31"/>
      <c r="CK197" s="31"/>
      <c r="CL197" s="31"/>
      <c r="CM197" s="31"/>
      <c r="CN197" s="31"/>
      <c r="CO197" s="31"/>
      <c r="CP197" s="31"/>
      <c r="CQ197" s="31"/>
      <c r="CR197" s="31"/>
      <c r="CS197" s="31"/>
      <c r="CT197" s="31"/>
      <c r="CU197" s="31"/>
      <c r="CV197" s="31"/>
      <c r="CW197" s="31"/>
    </row>
    <row r="198" spans="1:101" x14ac:dyDescent="0.25">
      <c r="A198" s="83"/>
      <c r="B198" s="84"/>
      <c r="C198" s="84"/>
      <c r="D198" s="85"/>
      <c r="E198" s="84"/>
      <c r="F198" s="84"/>
      <c r="G198" s="84"/>
      <c r="H198" s="84"/>
      <c r="I198" s="84"/>
      <c r="J198" s="84"/>
      <c r="L198" s="31"/>
      <c r="M198" s="31"/>
      <c r="N198" s="12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  <c r="BS198" s="31"/>
      <c r="BT198" s="31"/>
      <c r="BU198" s="31"/>
      <c r="BV198" s="31"/>
      <c r="BW198" s="31"/>
      <c r="BX198" s="31"/>
      <c r="BY198" s="31"/>
      <c r="BZ198" s="31"/>
      <c r="CA198" s="31"/>
      <c r="CB198" s="31"/>
      <c r="CC198" s="31"/>
      <c r="CD198" s="31"/>
      <c r="CE198" s="31"/>
      <c r="CF198" s="31"/>
      <c r="CG198" s="31"/>
      <c r="CH198" s="31"/>
      <c r="CI198" s="31"/>
      <c r="CJ198" s="31"/>
      <c r="CK198" s="31"/>
      <c r="CL198" s="31"/>
      <c r="CM198" s="31"/>
      <c r="CN198" s="31"/>
      <c r="CO198" s="31"/>
      <c r="CP198" s="31"/>
      <c r="CQ198" s="31"/>
      <c r="CR198" s="31"/>
      <c r="CS198" s="31"/>
      <c r="CT198" s="31"/>
      <c r="CU198" s="31"/>
      <c r="CV198" s="31"/>
      <c r="CW198" s="31"/>
    </row>
    <row r="199" spans="1:101" x14ac:dyDescent="0.25">
      <c r="A199" s="83"/>
      <c r="B199" s="84"/>
      <c r="C199" s="84"/>
      <c r="D199" s="85"/>
      <c r="E199" s="84"/>
      <c r="F199" s="84"/>
      <c r="G199" s="84"/>
      <c r="H199" s="84"/>
      <c r="I199" s="84"/>
      <c r="J199" s="84"/>
      <c r="L199" s="31"/>
      <c r="M199" s="31"/>
      <c r="N199" s="12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  <c r="BS199" s="31"/>
      <c r="BT199" s="31"/>
      <c r="BU199" s="31"/>
      <c r="BV199" s="31"/>
      <c r="BW199" s="31"/>
      <c r="BX199" s="31"/>
      <c r="BY199" s="31"/>
      <c r="BZ199" s="31"/>
      <c r="CA199" s="31"/>
      <c r="CB199" s="31"/>
      <c r="CC199" s="31"/>
      <c r="CD199" s="31"/>
      <c r="CE199" s="31"/>
      <c r="CF199" s="31"/>
      <c r="CG199" s="31"/>
      <c r="CH199" s="31"/>
      <c r="CI199" s="31"/>
      <c r="CJ199" s="31"/>
      <c r="CK199" s="31"/>
      <c r="CL199" s="31"/>
      <c r="CM199" s="31"/>
      <c r="CN199" s="31"/>
      <c r="CO199" s="31"/>
      <c r="CP199" s="31"/>
      <c r="CQ199" s="31"/>
      <c r="CR199" s="31"/>
      <c r="CS199" s="31"/>
      <c r="CT199" s="31"/>
      <c r="CU199" s="31"/>
      <c r="CV199" s="31"/>
      <c r="CW199" s="31"/>
    </row>
    <row r="200" spans="1:101" x14ac:dyDescent="0.25">
      <c r="A200" s="83"/>
      <c r="B200" s="84"/>
      <c r="C200" s="84"/>
      <c r="D200" s="85"/>
      <c r="E200" s="84"/>
      <c r="F200" s="84"/>
      <c r="G200" s="84"/>
      <c r="H200" s="84"/>
      <c r="I200" s="84"/>
      <c r="J200" s="84"/>
      <c r="L200" s="31"/>
      <c r="M200" s="31"/>
      <c r="N200" s="12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  <c r="BS200" s="31"/>
      <c r="BT200" s="31"/>
      <c r="BU200" s="31"/>
      <c r="BV200" s="31"/>
      <c r="BW200" s="31"/>
      <c r="BX200" s="31"/>
      <c r="BY200" s="31"/>
      <c r="BZ200" s="31"/>
      <c r="CA200" s="31"/>
      <c r="CB200" s="31"/>
      <c r="CC200" s="31"/>
      <c r="CD200" s="31"/>
      <c r="CE200" s="31"/>
      <c r="CF200" s="31"/>
      <c r="CG200" s="31"/>
      <c r="CH200" s="31"/>
      <c r="CI200" s="31"/>
      <c r="CJ200" s="31"/>
      <c r="CK200" s="31"/>
      <c r="CL200" s="31"/>
      <c r="CM200" s="31"/>
      <c r="CN200" s="31"/>
      <c r="CO200" s="31"/>
      <c r="CP200" s="31"/>
      <c r="CQ200" s="31"/>
      <c r="CR200" s="31"/>
      <c r="CS200" s="31"/>
      <c r="CT200" s="31"/>
      <c r="CU200" s="31"/>
      <c r="CV200" s="31"/>
      <c r="CW200" s="31"/>
    </row>
    <row r="201" spans="1:101" x14ac:dyDescent="0.25">
      <c r="A201" s="83"/>
      <c r="B201" s="84"/>
      <c r="C201" s="84"/>
      <c r="D201" s="85"/>
      <c r="E201" s="84"/>
      <c r="F201" s="84"/>
      <c r="G201" s="84"/>
      <c r="H201" s="84"/>
      <c r="I201" s="84"/>
      <c r="J201" s="84"/>
      <c r="L201" s="31"/>
      <c r="M201" s="31"/>
      <c r="N201" s="12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  <c r="BS201" s="31"/>
      <c r="BT201" s="31"/>
      <c r="BU201" s="31"/>
      <c r="BV201" s="31"/>
      <c r="BW201" s="31"/>
      <c r="BX201" s="31"/>
      <c r="BY201" s="31"/>
      <c r="BZ201" s="31"/>
      <c r="CA201" s="31"/>
      <c r="CB201" s="31"/>
      <c r="CC201" s="31"/>
      <c r="CD201" s="31"/>
      <c r="CE201" s="31"/>
      <c r="CF201" s="31"/>
      <c r="CG201" s="31"/>
      <c r="CH201" s="31"/>
      <c r="CI201" s="31"/>
      <c r="CJ201" s="31"/>
      <c r="CK201" s="31"/>
      <c r="CL201" s="31"/>
      <c r="CM201" s="31"/>
      <c r="CN201" s="31"/>
      <c r="CO201" s="31"/>
      <c r="CP201" s="31"/>
      <c r="CQ201" s="31"/>
      <c r="CR201" s="31"/>
      <c r="CS201" s="31"/>
      <c r="CT201" s="31"/>
      <c r="CU201" s="31"/>
      <c r="CV201" s="31"/>
      <c r="CW201" s="31"/>
    </row>
    <row r="202" spans="1:101" x14ac:dyDescent="0.25">
      <c r="A202" s="83"/>
      <c r="B202" s="84"/>
      <c r="C202" s="84"/>
      <c r="D202" s="85"/>
      <c r="E202" s="84"/>
      <c r="F202" s="84"/>
      <c r="G202" s="84"/>
      <c r="H202" s="84"/>
      <c r="I202" s="84"/>
      <c r="J202" s="84"/>
      <c r="L202" s="31"/>
      <c r="M202" s="31"/>
      <c r="N202" s="12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  <c r="BS202" s="31"/>
      <c r="BT202" s="31"/>
      <c r="BU202" s="31"/>
      <c r="BV202" s="31"/>
      <c r="BW202" s="31"/>
      <c r="BX202" s="31"/>
      <c r="BY202" s="31"/>
      <c r="BZ202" s="31"/>
      <c r="CA202" s="31"/>
      <c r="CB202" s="31"/>
      <c r="CC202" s="31"/>
      <c r="CD202" s="31"/>
      <c r="CE202" s="31"/>
      <c r="CF202" s="31"/>
      <c r="CG202" s="31"/>
      <c r="CH202" s="31"/>
      <c r="CI202" s="31"/>
      <c r="CJ202" s="31"/>
      <c r="CK202" s="31"/>
      <c r="CL202" s="31"/>
      <c r="CM202" s="31"/>
      <c r="CN202" s="31"/>
      <c r="CO202" s="31"/>
      <c r="CP202" s="31"/>
      <c r="CQ202" s="31"/>
      <c r="CR202" s="31"/>
      <c r="CS202" s="31"/>
      <c r="CT202" s="31"/>
      <c r="CU202" s="31"/>
      <c r="CV202" s="31"/>
      <c r="CW202" s="31"/>
    </row>
    <row r="203" spans="1:101" x14ac:dyDescent="0.25">
      <c r="A203" s="83"/>
      <c r="B203" s="84"/>
      <c r="C203" s="84"/>
      <c r="D203" s="85"/>
      <c r="E203" s="84"/>
      <c r="F203" s="84"/>
      <c r="G203" s="84"/>
      <c r="H203" s="84"/>
      <c r="I203" s="84"/>
      <c r="J203" s="84"/>
      <c r="L203" s="31"/>
      <c r="M203" s="31"/>
      <c r="N203" s="12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  <c r="BS203" s="31"/>
      <c r="BT203" s="31"/>
      <c r="BU203" s="31"/>
      <c r="BV203" s="31"/>
      <c r="BW203" s="31"/>
      <c r="BX203" s="31"/>
      <c r="BY203" s="31"/>
      <c r="BZ203" s="31"/>
      <c r="CA203" s="31"/>
      <c r="CB203" s="31"/>
      <c r="CC203" s="31"/>
      <c r="CD203" s="31"/>
      <c r="CE203" s="31"/>
      <c r="CF203" s="31"/>
      <c r="CG203" s="31"/>
      <c r="CH203" s="31"/>
      <c r="CI203" s="31"/>
      <c r="CJ203" s="31"/>
      <c r="CK203" s="31"/>
      <c r="CL203" s="31"/>
      <c r="CM203" s="31"/>
      <c r="CN203" s="31"/>
      <c r="CO203" s="31"/>
      <c r="CP203" s="31"/>
      <c r="CQ203" s="31"/>
      <c r="CR203" s="31"/>
      <c r="CS203" s="31"/>
      <c r="CT203" s="31"/>
      <c r="CU203" s="31"/>
      <c r="CV203" s="31"/>
      <c r="CW203" s="31"/>
    </row>
    <row r="204" spans="1:101" x14ac:dyDescent="0.25">
      <c r="A204" s="83"/>
      <c r="B204" s="84"/>
      <c r="C204" s="84"/>
      <c r="D204" s="85"/>
      <c r="E204" s="84"/>
      <c r="F204" s="84"/>
      <c r="G204" s="84"/>
      <c r="H204" s="84"/>
      <c r="I204" s="84"/>
      <c r="J204" s="84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  <c r="CF204" s="31"/>
      <c r="CG204" s="31"/>
      <c r="CH204" s="31"/>
      <c r="CI204" s="31"/>
      <c r="CJ204" s="31"/>
      <c r="CK204" s="31"/>
      <c r="CL204" s="31"/>
      <c r="CM204" s="31"/>
      <c r="CN204" s="31"/>
      <c r="CO204" s="31"/>
      <c r="CP204" s="31"/>
      <c r="CQ204" s="31"/>
      <c r="CR204" s="31"/>
      <c r="CS204" s="31"/>
      <c r="CT204" s="31"/>
      <c r="CU204" s="31"/>
      <c r="CV204" s="31"/>
      <c r="CW204" s="31"/>
    </row>
    <row r="205" spans="1:101" x14ac:dyDescent="0.25">
      <c r="A205" s="83"/>
      <c r="B205" s="84"/>
      <c r="C205" s="84"/>
      <c r="D205" s="85"/>
      <c r="E205" s="84"/>
      <c r="F205" s="84"/>
      <c r="G205" s="84"/>
      <c r="H205" s="84"/>
      <c r="I205" s="84"/>
      <c r="J205" s="84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  <c r="CF205" s="31"/>
      <c r="CG205" s="31"/>
      <c r="CH205" s="31"/>
      <c r="CI205" s="31"/>
      <c r="CJ205" s="31"/>
      <c r="CK205" s="31"/>
      <c r="CL205" s="31"/>
      <c r="CM205" s="31"/>
      <c r="CN205" s="31"/>
      <c r="CO205" s="31"/>
      <c r="CP205" s="31"/>
      <c r="CQ205" s="31"/>
      <c r="CR205" s="31"/>
      <c r="CS205" s="31"/>
      <c r="CT205" s="31"/>
      <c r="CU205" s="31"/>
      <c r="CV205" s="31"/>
      <c r="CW205" s="31"/>
    </row>
    <row r="206" spans="1:101" x14ac:dyDescent="0.25">
      <c r="A206" s="83"/>
      <c r="B206" s="84"/>
      <c r="C206" s="84"/>
      <c r="D206" s="85"/>
      <c r="E206" s="84"/>
      <c r="F206" s="84"/>
      <c r="G206" s="84"/>
      <c r="H206" s="84"/>
      <c r="I206" s="84"/>
      <c r="J206" s="84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/>
      <c r="CF206" s="31"/>
      <c r="CG206" s="31"/>
      <c r="CH206" s="31"/>
      <c r="CI206" s="31"/>
      <c r="CJ206" s="31"/>
      <c r="CK206" s="31"/>
      <c r="CL206" s="31"/>
      <c r="CM206" s="31"/>
      <c r="CN206" s="31"/>
      <c r="CO206" s="31"/>
      <c r="CP206" s="31"/>
      <c r="CQ206" s="31"/>
      <c r="CR206" s="31"/>
      <c r="CS206" s="31"/>
      <c r="CT206" s="31"/>
      <c r="CU206" s="31"/>
      <c r="CV206" s="31"/>
      <c r="CW206" s="31"/>
    </row>
    <row r="207" spans="1:101" x14ac:dyDescent="0.25">
      <c r="A207" s="83"/>
      <c r="B207" s="84"/>
      <c r="C207" s="84"/>
      <c r="D207" s="85"/>
      <c r="E207" s="84"/>
      <c r="F207" s="84"/>
      <c r="G207" s="84"/>
      <c r="H207" s="84"/>
      <c r="I207" s="84"/>
      <c r="J207" s="84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/>
      <c r="CF207" s="31"/>
      <c r="CG207" s="31"/>
      <c r="CH207" s="31"/>
      <c r="CI207" s="31"/>
      <c r="CJ207" s="31"/>
      <c r="CK207" s="31"/>
      <c r="CL207" s="31"/>
      <c r="CM207" s="31"/>
      <c r="CN207" s="31"/>
      <c r="CO207" s="31"/>
      <c r="CP207" s="31"/>
      <c r="CQ207" s="31"/>
      <c r="CR207" s="31"/>
      <c r="CS207" s="31"/>
      <c r="CT207" s="31"/>
      <c r="CU207" s="31"/>
      <c r="CV207" s="31"/>
      <c r="CW207" s="31"/>
    </row>
    <row r="208" spans="1:101" x14ac:dyDescent="0.25">
      <c r="A208" s="83"/>
      <c r="B208" s="84"/>
      <c r="C208" s="84"/>
      <c r="D208" s="85"/>
      <c r="E208" s="84"/>
      <c r="F208" s="84"/>
      <c r="G208" s="84"/>
      <c r="H208" s="84"/>
      <c r="I208" s="84"/>
      <c r="J208" s="84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/>
      <c r="CF208" s="31"/>
      <c r="CG208" s="31"/>
      <c r="CH208" s="31"/>
      <c r="CI208" s="31"/>
      <c r="CJ208" s="31"/>
      <c r="CK208" s="31"/>
      <c r="CL208" s="31"/>
      <c r="CM208" s="31"/>
      <c r="CN208" s="31"/>
      <c r="CO208" s="31"/>
      <c r="CP208" s="31"/>
      <c r="CQ208" s="31"/>
      <c r="CR208" s="31"/>
      <c r="CS208" s="31"/>
      <c r="CT208" s="31"/>
      <c r="CU208" s="31"/>
      <c r="CV208" s="31"/>
      <c r="CW208" s="31"/>
    </row>
    <row r="209" spans="1:101" x14ac:dyDescent="0.25">
      <c r="A209" s="83"/>
      <c r="B209" s="84"/>
      <c r="C209" s="84"/>
      <c r="D209" s="85"/>
      <c r="E209" s="84"/>
      <c r="F209" s="84"/>
      <c r="G209" s="84"/>
      <c r="H209" s="84"/>
      <c r="I209" s="84"/>
      <c r="J209" s="84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/>
      <c r="CF209" s="31"/>
      <c r="CG209" s="31"/>
      <c r="CH209" s="31"/>
      <c r="CI209" s="31"/>
      <c r="CJ209" s="31"/>
      <c r="CK209" s="31"/>
      <c r="CL209" s="31"/>
      <c r="CM209" s="31"/>
      <c r="CN209" s="31"/>
      <c r="CO209" s="31"/>
      <c r="CP209" s="31"/>
      <c r="CQ209" s="31"/>
      <c r="CR209" s="31"/>
      <c r="CS209" s="31"/>
      <c r="CT209" s="31"/>
      <c r="CU209" s="31"/>
      <c r="CV209" s="31"/>
      <c r="CW209" s="31"/>
    </row>
    <row r="210" spans="1:101" x14ac:dyDescent="0.25">
      <c r="A210" s="83"/>
      <c r="B210" s="84"/>
      <c r="C210" s="84"/>
      <c r="D210" s="85"/>
      <c r="E210" s="84"/>
      <c r="F210" s="84"/>
      <c r="G210" s="84"/>
      <c r="H210" s="84"/>
      <c r="I210" s="84"/>
      <c r="J210" s="84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/>
      <c r="CF210" s="31"/>
      <c r="CG210" s="31"/>
      <c r="CH210" s="31"/>
      <c r="CI210" s="31"/>
      <c r="CJ210" s="31"/>
      <c r="CK210" s="31"/>
      <c r="CL210" s="31"/>
      <c r="CM210" s="31"/>
      <c r="CN210" s="31"/>
      <c r="CO210" s="31"/>
      <c r="CP210" s="31"/>
      <c r="CQ210" s="31"/>
      <c r="CR210" s="31"/>
      <c r="CS210" s="31"/>
      <c r="CT210" s="31"/>
      <c r="CU210" s="31"/>
      <c r="CV210" s="31"/>
      <c r="CW210" s="31"/>
    </row>
    <row r="211" spans="1:101" x14ac:dyDescent="0.25">
      <c r="A211" s="83"/>
      <c r="B211" s="84"/>
      <c r="C211" s="84"/>
      <c r="D211" s="85"/>
      <c r="E211" s="84"/>
      <c r="F211" s="84"/>
      <c r="G211" s="84"/>
      <c r="H211" s="84"/>
      <c r="I211" s="84"/>
      <c r="J211" s="84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  <c r="CF211" s="31"/>
      <c r="CG211" s="31"/>
      <c r="CH211" s="31"/>
      <c r="CI211" s="31"/>
      <c r="CJ211" s="31"/>
      <c r="CK211" s="31"/>
      <c r="CL211" s="31"/>
      <c r="CM211" s="31"/>
      <c r="CN211" s="31"/>
      <c r="CO211" s="31"/>
      <c r="CP211" s="31"/>
      <c r="CQ211" s="31"/>
      <c r="CR211" s="31"/>
      <c r="CS211" s="31"/>
      <c r="CT211" s="31"/>
      <c r="CU211" s="31"/>
      <c r="CV211" s="31"/>
      <c r="CW211" s="31"/>
    </row>
    <row r="212" spans="1:101" x14ac:dyDescent="0.25">
      <c r="A212" s="83"/>
      <c r="B212" s="84"/>
      <c r="C212" s="84"/>
      <c r="D212" s="85"/>
      <c r="E212" s="84"/>
      <c r="F212" s="84"/>
      <c r="G212" s="84"/>
      <c r="H212" s="84"/>
      <c r="I212" s="84"/>
      <c r="J212" s="84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/>
      <c r="CF212" s="31"/>
      <c r="CG212" s="31"/>
      <c r="CH212" s="31"/>
      <c r="CI212" s="31"/>
      <c r="CJ212" s="31"/>
      <c r="CK212" s="31"/>
      <c r="CL212" s="31"/>
      <c r="CM212" s="31"/>
      <c r="CN212" s="31"/>
      <c r="CO212" s="31"/>
      <c r="CP212" s="31"/>
      <c r="CQ212" s="31"/>
      <c r="CR212" s="31"/>
      <c r="CS212" s="31"/>
      <c r="CT212" s="31"/>
      <c r="CU212" s="31"/>
      <c r="CV212" s="31"/>
      <c r="CW212" s="31"/>
    </row>
    <row r="213" spans="1:101" x14ac:dyDescent="0.25">
      <c r="A213" s="83"/>
      <c r="B213" s="84"/>
      <c r="C213" s="84"/>
      <c r="D213" s="85"/>
      <c r="E213" s="84"/>
      <c r="F213" s="84"/>
      <c r="G213" s="84"/>
      <c r="H213" s="84"/>
      <c r="I213" s="84"/>
      <c r="J213" s="84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  <c r="CJ213" s="31"/>
      <c r="CK213" s="31"/>
      <c r="CL213" s="31"/>
      <c r="CM213" s="31"/>
      <c r="CN213" s="31"/>
      <c r="CO213" s="31"/>
      <c r="CP213" s="31"/>
      <c r="CQ213" s="31"/>
      <c r="CR213" s="31"/>
      <c r="CS213" s="31"/>
      <c r="CT213" s="31"/>
      <c r="CU213" s="31"/>
      <c r="CV213" s="31"/>
      <c r="CW213" s="31"/>
    </row>
    <row r="214" spans="1:101" x14ac:dyDescent="0.25">
      <c r="A214" s="83"/>
      <c r="B214" s="84"/>
      <c r="C214" s="84"/>
      <c r="D214" s="85"/>
      <c r="E214" s="84"/>
      <c r="F214" s="84"/>
      <c r="G214" s="84"/>
      <c r="H214" s="84"/>
      <c r="I214" s="84"/>
      <c r="J214" s="84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  <c r="BS214" s="31"/>
      <c r="BT214" s="31"/>
      <c r="BU214" s="31"/>
      <c r="BV214" s="31"/>
      <c r="BW214" s="31"/>
      <c r="BX214" s="31"/>
      <c r="BY214" s="31"/>
      <c r="BZ214" s="31"/>
      <c r="CA214" s="31"/>
      <c r="CB214" s="31"/>
      <c r="CC214" s="31"/>
      <c r="CD214" s="31"/>
      <c r="CE214" s="31"/>
      <c r="CF214" s="31"/>
      <c r="CG214" s="31"/>
      <c r="CH214" s="31"/>
      <c r="CI214" s="31"/>
      <c r="CJ214" s="31"/>
      <c r="CK214" s="31"/>
      <c r="CL214" s="31"/>
      <c r="CM214" s="31"/>
      <c r="CN214" s="31"/>
      <c r="CO214" s="31"/>
      <c r="CP214" s="31"/>
      <c r="CQ214" s="31"/>
      <c r="CR214" s="31"/>
      <c r="CS214" s="31"/>
      <c r="CT214" s="31"/>
      <c r="CU214" s="31"/>
      <c r="CV214" s="31"/>
      <c r="CW214" s="31"/>
    </row>
    <row r="215" spans="1:101" x14ac:dyDescent="0.25">
      <c r="A215" s="83"/>
      <c r="B215" s="84"/>
      <c r="C215" s="84"/>
      <c r="D215" s="85"/>
      <c r="E215" s="84"/>
      <c r="F215" s="84"/>
      <c r="G215" s="84"/>
      <c r="H215" s="84"/>
      <c r="I215" s="84"/>
      <c r="J215" s="84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  <c r="BS215" s="31"/>
      <c r="BT215" s="31"/>
      <c r="BU215" s="31"/>
      <c r="BV215" s="31"/>
      <c r="BW215" s="31"/>
      <c r="BX215" s="31"/>
      <c r="BY215" s="31"/>
      <c r="BZ215" s="31"/>
      <c r="CA215" s="31"/>
      <c r="CB215" s="31"/>
      <c r="CC215" s="31"/>
      <c r="CD215" s="31"/>
      <c r="CE215" s="31"/>
      <c r="CF215" s="31"/>
      <c r="CG215" s="31"/>
      <c r="CH215" s="31"/>
      <c r="CI215" s="31"/>
      <c r="CJ215" s="31"/>
      <c r="CK215" s="31"/>
      <c r="CL215" s="31"/>
      <c r="CM215" s="31"/>
      <c r="CN215" s="31"/>
      <c r="CO215" s="31"/>
      <c r="CP215" s="31"/>
      <c r="CQ215" s="31"/>
      <c r="CR215" s="31"/>
      <c r="CS215" s="31"/>
      <c r="CT215" s="31"/>
      <c r="CU215" s="31"/>
      <c r="CV215" s="31"/>
      <c r="CW215" s="31"/>
    </row>
    <row r="216" spans="1:101" x14ac:dyDescent="0.25">
      <c r="A216" s="83"/>
      <c r="B216" s="84"/>
      <c r="C216" s="84"/>
      <c r="D216" s="85"/>
      <c r="E216" s="84"/>
      <c r="F216" s="84"/>
      <c r="G216" s="84"/>
      <c r="H216" s="84"/>
      <c r="I216" s="84"/>
      <c r="J216" s="84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/>
      <c r="CF216" s="31"/>
      <c r="CG216" s="31"/>
      <c r="CH216" s="31"/>
      <c r="CI216" s="31"/>
      <c r="CJ216" s="31"/>
      <c r="CK216" s="31"/>
      <c r="CL216" s="31"/>
      <c r="CM216" s="31"/>
      <c r="CN216" s="31"/>
      <c r="CO216" s="31"/>
      <c r="CP216" s="31"/>
      <c r="CQ216" s="31"/>
      <c r="CR216" s="31"/>
      <c r="CS216" s="31"/>
      <c r="CT216" s="31"/>
      <c r="CU216" s="31"/>
      <c r="CV216" s="31"/>
      <c r="CW216" s="31"/>
    </row>
    <row r="217" spans="1:101" x14ac:dyDescent="0.25">
      <c r="A217" s="83"/>
      <c r="B217" s="84"/>
      <c r="C217" s="84"/>
      <c r="D217" s="85"/>
      <c r="E217" s="84"/>
      <c r="F217" s="84"/>
      <c r="G217" s="84"/>
      <c r="H217" s="84"/>
      <c r="I217" s="84"/>
      <c r="J217" s="84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  <c r="BS217" s="31"/>
      <c r="BT217" s="31"/>
      <c r="BU217" s="31"/>
      <c r="BV217" s="31"/>
      <c r="BW217" s="31"/>
      <c r="BX217" s="31"/>
      <c r="BY217" s="31"/>
      <c r="BZ217" s="31"/>
      <c r="CA217" s="31"/>
      <c r="CB217" s="31"/>
      <c r="CC217" s="31"/>
      <c r="CD217" s="31"/>
      <c r="CE217" s="31"/>
      <c r="CF217" s="31"/>
      <c r="CG217" s="31"/>
      <c r="CH217" s="31"/>
      <c r="CI217" s="31"/>
      <c r="CJ217" s="31"/>
      <c r="CK217" s="31"/>
      <c r="CL217" s="31"/>
      <c r="CM217" s="31"/>
      <c r="CN217" s="31"/>
      <c r="CO217" s="31"/>
      <c r="CP217" s="31"/>
      <c r="CQ217" s="31"/>
      <c r="CR217" s="31"/>
      <c r="CS217" s="31"/>
      <c r="CT217" s="31"/>
      <c r="CU217" s="31"/>
      <c r="CV217" s="31"/>
      <c r="CW217" s="31"/>
    </row>
    <row r="218" spans="1:101" x14ac:dyDescent="0.25">
      <c r="A218" s="83"/>
      <c r="B218" s="84"/>
      <c r="C218" s="84"/>
      <c r="D218" s="85"/>
      <c r="E218" s="84"/>
      <c r="F218" s="84"/>
      <c r="G218" s="84"/>
      <c r="H218" s="84"/>
      <c r="I218" s="84"/>
      <c r="J218" s="84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  <c r="BS218" s="31"/>
      <c r="BT218" s="31"/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/>
      <c r="CF218" s="31"/>
      <c r="CG218" s="31"/>
      <c r="CH218" s="31"/>
      <c r="CI218" s="31"/>
      <c r="CJ218" s="31"/>
      <c r="CK218" s="31"/>
      <c r="CL218" s="31"/>
      <c r="CM218" s="31"/>
      <c r="CN218" s="31"/>
      <c r="CO218" s="31"/>
      <c r="CP218" s="31"/>
      <c r="CQ218" s="31"/>
      <c r="CR218" s="31"/>
      <c r="CS218" s="31"/>
      <c r="CT218" s="31"/>
      <c r="CU218" s="31"/>
      <c r="CV218" s="31"/>
      <c r="CW218" s="31"/>
    </row>
    <row r="219" spans="1:101" x14ac:dyDescent="0.25">
      <c r="A219" s="83"/>
      <c r="B219" s="84"/>
      <c r="C219" s="84"/>
      <c r="D219" s="85"/>
      <c r="E219" s="84"/>
      <c r="F219" s="84"/>
      <c r="G219" s="84"/>
      <c r="H219" s="84"/>
      <c r="I219" s="84"/>
      <c r="J219" s="84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  <c r="BS219" s="31"/>
      <c r="BT219" s="31"/>
      <c r="BU219" s="31"/>
      <c r="BV219" s="31"/>
      <c r="BW219" s="31"/>
      <c r="BX219" s="31"/>
      <c r="BY219" s="31"/>
      <c r="BZ219" s="31"/>
      <c r="CA219" s="31"/>
      <c r="CB219" s="31"/>
      <c r="CC219" s="31"/>
      <c r="CD219" s="31"/>
      <c r="CE219" s="31"/>
      <c r="CF219" s="31"/>
      <c r="CG219" s="31"/>
      <c r="CH219" s="31"/>
      <c r="CI219" s="31"/>
      <c r="CJ219" s="31"/>
      <c r="CK219" s="31"/>
      <c r="CL219" s="31"/>
      <c r="CM219" s="31"/>
      <c r="CN219" s="31"/>
      <c r="CO219" s="31"/>
      <c r="CP219" s="31"/>
      <c r="CQ219" s="31"/>
      <c r="CR219" s="31"/>
      <c r="CS219" s="31"/>
      <c r="CT219" s="31"/>
      <c r="CU219" s="31"/>
      <c r="CV219" s="31"/>
      <c r="CW219" s="31"/>
    </row>
    <row r="220" spans="1:101" x14ac:dyDescent="0.25">
      <c r="A220" s="83"/>
      <c r="B220" s="84"/>
      <c r="C220" s="84"/>
      <c r="D220" s="85"/>
      <c r="E220" s="84"/>
      <c r="F220" s="84"/>
      <c r="G220" s="84"/>
      <c r="H220" s="84"/>
      <c r="I220" s="84"/>
      <c r="J220" s="84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/>
      <c r="CF220" s="31"/>
      <c r="CG220" s="31"/>
      <c r="CH220" s="31"/>
      <c r="CI220" s="31"/>
      <c r="CJ220" s="31"/>
      <c r="CK220" s="31"/>
      <c r="CL220" s="31"/>
      <c r="CM220" s="31"/>
      <c r="CN220" s="31"/>
      <c r="CO220" s="31"/>
      <c r="CP220" s="31"/>
      <c r="CQ220" s="31"/>
      <c r="CR220" s="31"/>
      <c r="CS220" s="31"/>
      <c r="CT220" s="31"/>
      <c r="CU220" s="31"/>
      <c r="CV220" s="31"/>
      <c r="CW220" s="31"/>
    </row>
    <row r="221" spans="1:101" x14ac:dyDescent="0.25">
      <c r="A221" s="83"/>
      <c r="B221" s="84"/>
      <c r="C221" s="84"/>
      <c r="D221" s="85"/>
      <c r="E221" s="84"/>
      <c r="F221" s="84"/>
      <c r="G221" s="84"/>
      <c r="H221" s="84"/>
      <c r="I221" s="84"/>
      <c r="J221" s="84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  <c r="BS221" s="31"/>
      <c r="BT221" s="31"/>
      <c r="BU221" s="31"/>
      <c r="BV221" s="31"/>
      <c r="BW221" s="31"/>
      <c r="BX221" s="31"/>
      <c r="BY221" s="31"/>
      <c r="BZ221" s="31"/>
      <c r="CA221" s="31"/>
      <c r="CB221" s="31"/>
      <c r="CC221" s="31"/>
      <c r="CD221" s="31"/>
      <c r="CE221" s="31"/>
      <c r="CF221" s="31"/>
      <c r="CG221" s="31"/>
      <c r="CH221" s="31"/>
      <c r="CI221" s="31"/>
      <c r="CJ221" s="31"/>
      <c r="CK221" s="31"/>
      <c r="CL221" s="31"/>
      <c r="CM221" s="31"/>
      <c r="CN221" s="31"/>
      <c r="CO221" s="31"/>
      <c r="CP221" s="31"/>
      <c r="CQ221" s="31"/>
      <c r="CR221" s="31"/>
      <c r="CS221" s="31"/>
      <c r="CT221" s="31"/>
      <c r="CU221" s="31"/>
      <c r="CV221" s="31"/>
      <c r="CW221" s="31"/>
    </row>
    <row r="222" spans="1:101" x14ac:dyDescent="0.25">
      <c r="A222" s="83"/>
      <c r="B222" s="84"/>
      <c r="C222" s="84"/>
      <c r="D222" s="85"/>
      <c r="E222" s="84"/>
      <c r="F222" s="84"/>
      <c r="G222" s="84"/>
      <c r="H222" s="84"/>
      <c r="I222" s="84"/>
      <c r="J222" s="84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  <c r="CF222" s="31"/>
      <c r="CG222" s="31"/>
      <c r="CH222" s="31"/>
      <c r="CI222" s="31"/>
      <c r="CJ222" s="31"/>
      <c r="CK222" s="31"/>
      <c r="CL222" s="31"/>
      <c r="CM222" s="31"/>
      <c r="CN222" s="31"/>
      <c r="CO222" s="31"/>
      <c r="CP222" s="31"/>
      <c r="CQ222" s="31"/>
      <c r="CR222" s="31"/>
      <c r="CS222" s="31"/>
      <c r="CT222" s="31"/>
      <c r="CU222" s="31"/>
      <c r="CV222" s="31"/>
      <c r="CW222" s="31"/>
    </row>
    <row r="223" spans="1:101" x14ac:dyDescent="0.25">
      <c r="A223" s="83"/>
      <c r="B223" s="84"/>
      <c r="C223" s="84"/>
      <c r="D223" s="85"/>
      <c r="E223" s="84"/>
      <c r="F223" s="84"/>
      <c r="G223" s="84"/>
      <c r="H223" s="84"/>
      <c r="I223" s="84"/>
      <c r="J223" s="84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  <c r="BS223" s="31"/>
      <c r="BT223" s="31"/>
      <c r="BU223" s="31"/>
      <c r="BV223" s="31"/>
      <c r="BW223" s="31"/>
      <c r="BX223" s="31"/>
      <c r="BY223" s="31"/>
      <c r="BZ223" s="31"/>
      <c r="CA223" s="31"/>
      <c r="CB223" s="31"/>
      <c r="CC223" s="31"/>
      <c r="CD223" s="31"/>
      <c r="CE223" s="31"/>
      <c r="CF223" s="31"/>
      <c r="CG223" s="31"/>
      <c r="CH223" s="31"/>
      <c r="CI223" s="31"/>
      <c r="CJ223" s="31"/>
      <c r="CK223" s="31"/>
      <c r="CL223" s="31"/>
      <c r="CM223" s="31"/>
      <c r="CN223" s="31"/>
      <c r="CO223" s="31"/>
      <c r="CP223" s="31"/>
      <c r="CQ223" s="31"/>
      <c r="CR223" s="31"/>
      <c r="CS223" s="31"/>
      <c r="CT223" s="31"/>
      <c r="CU223" s="31"/>
      <c r="CV223" s="31"/>
      <c r="CW223" s="31"/>
    </row>
    <row r="224" spans="1:101" x14ac:dyDescent="0.25">
      <c r="A224" s="83"/>
      <c r="B224" s="84"/>
      <c r="C224" s="84"/>
      <c r="D224" s="85"/>
      <c r="E224" s="84"/>
      <c r="F224" s="84"/>
      <c r="G224" s="84"/>
      <c r="H224" s="84"/>
      <c r="I224" s="84"/>
      <c r="J224" s="84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  <c r="BS224" s="31"/>
      <c r="BT224" s="31"/>
      <c r="BU224" s="31"/>
      <c r="BV224" s="31"/>
      <c r="BW224" s="31"/>
      <c r="BX224" s="31"/>
      <c r="BY224" s="31"/>
      <c r="BZ224" s="31"/>
      <c r="CA224" s="31"/>
      <c r="CB224" s="31"/>
      <c r="CC224" s="31"/>
      <c r="CD224" s="31"/>
      <c r="CE224" s="31"/>
      <c r="CF224" s="31"/>
      <c r="CG224" s="31"/>
      <c r="CH224" s="31"/>
      <c r="CI224" s="31"/>
      <c r="CJ224" s="31"/>
      <c r="CK224" s="31"/>
      <c r="CL224" s="31"/>
      <c r="CM224" s="31"/>
      <c r="CN224" s="31"/>
      <c r="CO224" s="31"/>
      <c r="CP224" s="31"/>
      <c r="CQ224" s="31"/>
      <c r="CR224" s="31"/>
      <c r="CS224" s="31"/>
      <c r="CT224" s="31"/>
      <c r="CU224" s="31"/>
      <c r="CV224" s="31"/>
      <c r="CW224" s="31"/>
    </row>
    <row r="225" spans="1:101" x14ac:dyDescent="0.25">
      <c r="A225" s="83"/>
      <c r="B225" s="84"/>
      <c r="C225" s="84"/>
      <c r="D225" s="85"/>
      <c r="E225" s="84"/>
      <c r="F225" s="84"/>
      <c r="G225" s="84"/>
      <c r="H225" s="84"/>
      <c r="I225" s="84"/>
      <c r="J225" s="84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  <c r="BS225" s="31"/>
      <c r="BT225" s="31"/>
      <c r="BU225" s="31"/>
      <c r="BV225" s="31"/>
      <c r="BW225" s="31"/>
      <c r="BX225" s="31"/>
      <c r="BY225" s="31"/>
      <c r="BZ225" s="31"/>
      <c r="CA225" s="31"/>
      <c r="CB225" s="31"/>
      <c r="CC225" s="31"/>
      <c r="CD225" s="31"/>
      <c r="CE225" s="31"/>
      <c r="CF225" s="31"/>
      <c r="CG225" s="31"/>
      <c r="CH225" s="31"/>
      <c r="CI225" s="31"/>
      <c r="CJ225" s="31"/>
      <c r="CK225" s="31"/>
      <c r="CL225" s="31"/>
      <c r="CM225" s="31"/>
      <c r="CN225" s="31"/>
      <c r="CO225" s="31"/>
      <c r="CP225" s="31"/>
      <c r="CQ225" s="31"/>
      <c r="CR225" s="31"/>
      <c r="CS225" s="31"/>
      <c r="CT225" s="31"/>
      <c r="CU225" s="31"/>
      <c r="CV225" s="31"/>
      <c r="CW225" s="31"/>
    </row>
    <row r="226" spans="1:101" x14ac:dyDescent="0.25">
      <c r="A226" s="83"/>
      <c r="B226" s="84"/>
      <c r="C226" s="84"/>
      <c r="D226" s="85"/>
      <c r="E226" s="84"/>
      <c r="F226" s="84"/>
      <c r="G226" s="84"/>
      <c r="H226" s="84"/>
      <c r="I226" s="84"/>
      <c r="J226" s="84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  <c r="BS226" s="31"/>
      <c r="BT226" s="31"/>
      <c r="BU226" s="31"/>
      <c r="BV226" s="31"/>
      <c r="BW226" s="31"/>
      <c r="BX226" s="31"/>
      <c r="BY226" s="31"/>
      <c r="BZ226" s="31"/>
      <c r="CA226" s="31"/>
      <c r="CB226" s="31"/>
      <c r="CC226" s="31"/>
      <c r="CD226" s="31"/>
      <c r="CE226" s="31"/>
      <c r="CF226" s="31"/>
      <c r="CG226" s="31"/>
      <c r="CH226" s="31"/>
      <c r="CI226" s="31"/>
      <c r="CJ226" s="31"/>
      <c r="CK226" s="31"/>
      <c r="CL226" s="31"/>
      <c r="CM226" s="31"/>
      <c r="CN226" s="31"/>
      <c r="CO226" s="31"/>
      <c r="CP226" s="31"/>
      <c r="CQ226" s="31"/>
      <c r="CR226" s="31"/>
      <c r="CS226" s="31"/>
      <c r="CT226" s="31"/>
      <c r="CU226" s="31"/>
      <c r="CV226" s="31"/>
      <c r="CW226" s="31"/>
    </row>
    <row r="227" spans="1:101" x14ac:dyDescent="0.25">
      <c r="A227" s="83"/>
      <c r="B227" s="84"/>
      <c r="C227" s="84"/>
      <c r="D227" s="85"/>
      <c r="E227" s="84"/>
      <c r="F227" s="84"/>
      <c r="G227" s="84"/>
      <c r="H227" s="84"/>
      <c r="I227" s="84"/>
      <c r="J227" s="84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  <c r="BS227" s="31"/>
      <c r="BT227" s="31"/>
      <c r="BU227" s="31"/>
      <c r="BV227" s="31"/>
      <c r="BW227" s="31"/>
      <c r="BX227" s="31"/>
      <c r="BY227" s="31"/>
      <c r="BZ227" s="31"/>
      <c r="CA227" s="31"/>
      <c r="CB227" s="31"/>
      <c r="CC227" s="31"/>
      <c r="CD227" s="31"/>
      <c r="CE227" s="31"/>
      <c r="CF227" s="31"/>
      <c r="CG227" s="31"/>
      <c r="CH227" s="31"/>
      <c r="CI227" s="31"/>
      <c r="CJ227" s="31"/>
      <c r="CK227" s="31"/>
      <c r="CL227" s="31"/>
      <c r="CM227" s="31"/>
      <c r="CN227" s="31"/>
      <c r="CO227" s="31"/>
      <c r="CP227" s="31"/>
      <c r="CQ227" s="31"/>
      <c r="CR227" s="31"/>
      <c r="CS227" s="31"/>
      <c r="CT227" s="31"/>
      <c r="CU227" s="31"/>
      <c r="CV227" s="31"/>
      <c r="CW227" s="31"/>
    </row>
    <row r="228" spans="1:101" x14ac:dyDescent="0.25">
      <c r="A228" s="83"/>
      <c r="B228" s="84"/>
      <c r="C228" s="84"/>
      <c r="D228" s="85"/>
      <c r="E228" s="84"/>
      <c r="F228" s="84"/>
      <c r="G228" s="84"/>
      <c r="H228" s="84"/>
      <c r="I228" s="84"/>
      <c r="J228" s="84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  <c r="BS228" s="31"/>
      <c r="BT228" s="31"/>
      <c r="BU228" s="31"/>
      <c r="BV228" s="31"/>
      <c r="BW228" s="31"/>
      <c r="BX228" s="31"/>
      <c r="BY228" s="31"/>
      <c r="BZ228" s="31"/>
      <c r="CA228" s="31"/>
      <c r="CB228" s="31"/>
      <c r="CC228" s="31"/>
      <c r="CD228" s="31"/>
      <c r="CE228" s="31"/>
      <c r="CF228" s="31"/>
      <c r="CG228" s="31"/>
      <c r="CH228" s="31"/>
      <c r="CI228" s="31"/>
      <c r="CJ228" s="31"/>
      <c r="CK228" s="31"/>
      <c r="CL228" s="31"/>
      <c r="CM228" s="31"/>
      <c r="CN228" s="31"/>
      <c r="CO228" s="31"/>
      <c r="CP228" s="31"/>
      <c r="CQ228" s="31"/>
      <c r="CR228" s="31"/>
      <c r="CS228" s="31"/>
      <c r="CT228" s="31"/>
      <c r="CU228" s="31"/>
      <c r="CV228" s="31"/>
      <c r="CW228" s="31"/>
    </row>
    <row r="229" spans="1:101" x14ac:dyDescent="0.25">
      <c r="A229" s="83"/>
      <c r="B229" s="84"/>
      <c r="C229" s="84"/>
      <c r="D229" s="85"/>
      <c r="E229" s="84"/>
      <c r="F229" s="84"/>
      <c r="G229" s="84"/>
      <c r="H229" s="84"/>
      <c r="I229" s="84"/>
      <c r="J229" s="84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  <c r="BS229" s="31"/>
      <c r="BT229" s="31"/>
      <c r="BU229" s="31"/>
      <c r="BV229" s="31"/>
      <c r="BW229" s="31"/>
      <c r="BX229" s="31"/>
      <c r="BY229" s="31"/>
      <c r="BZ229" s="31"/>
      <c r="CA229" s="31"/>
      <c r="CB229" s="31"/>
      <c r="CC229" s="31"/>
      <c r="CD229" s="31"/>
      <c r="CE229" s="31"/>
      <c r="CF229" s="31"/>
      <c r="CG229" s="31"/>
      <c r="CH229" s="31"/>
      <c r="CI229" s="31"/>
      <c r="CJ229" s="31"/>
      <c r="CK229" s="31"/>
      <c r="CL229" s="31"/>
      <c r="CM229" s="31"/>
      <c r="CN229" s="31"/>
      <c r="CO229" s="31"/>
      <c r="CP229" s="31"/>
      <c r="CQ229" s="31"/>
      <c r="CR229" s="31"/>
      <c r="CS229" s="31"/>
      <c r="CT229" s="31"/>
      <c r="CU229" s="31"/>
      <c r="CV229" s="31"/>
      <c r="CW229" s="31"/>
    </row>
    <row r="230" spans="1:101" x14ac:dyDescent="0.25">
      <c r="A230" s="83"/>
      <c r="B230" s="84"/>
      <c r="C230" s="84"/>
      <c r="D230" s="85"/>
      <c r="E230" s="84"/>
      <c r="F230" s="84"/>
      <c r="G230" s="84"/>
      <c r="H230" s="84"/>
      <c r="I230" s="84"/>
      <c r="J230" s="84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  <c r="BS230" s="31"/>
      <c r="BT230" s="31"/>
      <c r="BU230" s="31"/>
      <c r="BV230" s="31"/>
      <c r="BW230" s="31"/>
      <c r="BX230" s="31"/>
      <c r="BY230" s="31"/>
      <c r="BZ230" s="31"/>
      <c r="CA230" s="31"/>
      <c r="CB230" s="31"/>
      <c r="CC230" s="31"/>
      <c r="CD230" s="31"/>
      <c r="CE230" s="31"/>
      <c r="CF230" s="31"/>
      <c r="CG230" s="31"/>
      <c r="CH230" s="31"/>
      <c r="CI230" s="31"/>
      <c r="CJ230" s="31"/>
      <c r="CK230" s="31"/>
      <c r="CL230" s="31"/>
      <c r="CM230" s="31"/>
      <c r="CN230" s="31"/>
      <c r="CO230" s="31"/>
      <c r="CP230" s="31"/>
      <c r="CQ230" s="31"/>
      <c r="CR230" s="31"/>
      <c r="CS230" s="31"/>
      <c r="CT230" s="31"/>
      <c r="CU230" s="31"/>
      <c r="CV230" s="31"/>
      <c r="CW230" s="31"/>
    </row>
    <row r="231" spans="1:101" x14ac:dyDescent="0.25">
      <c r="A231" s="83"/>
      <c r="B231" s="84"/>
      <c r="C231" s="84"/>
      <c r="D231" s="85"/>
      <c r="E231" s="84"/>
      <c r="F231" s="84"/>
      <c r="G231" s="84"/>
      <c r="H231" s="84"/>
      <c r="I231" s="84"/>
      <c r="J231" s="84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  <c r="BS231" s="31"/>
      <c r="BT231" s="31"/>
      <c r="BU231" s="31"/>
      <c r="BV231" s="31"/>
      <c r="BW231" s="31"/>
      <c r="BX231" s="31"/>
      <c r="BY231" s="31"/>
      <c r="BZ231" s="31"/>
      <c r="CA231" s="31"/>
      <c r="CB231" s="31"/>
      <c r="CC231" s="31"/>
      <c r="CD231" s="31"/>
      <c r="CE231" s="31"/>
      <c r="CF231" s="31"/>
      <c r="CG231" s="31"/>
      <c r="CH231" s="31"/>
      <c r="CI231" s="31"/>
      <c r="CJ231" s="31"/>
      <c r="CK231" s="31"/>
      <c r="CL231" s="31"/>
      <c r="CM231" s="31"/>
      <c r="CN231" s="31"/>
      <c r="CO231" s="31"/>
      <c r="CP231" s="31"/>
      <c r="CQ231" s="31"/>
      <c r="CR231" s="31"/>
      <c r="CS231" s="31"/>
      <c r="CT231" s="31"/>
      <c r="CU231" s="31"/>
      <c r="CV231" s="31"/>
      <c r="CW231" s="31"/>
    </row>
    <row r="232" spans="1:101" x14ac:dyDescent="0.25">
      <c r="A232" s="83"/>
      <c r="B232" s="84"/>
      <c r="C232" s="84"/>
      <c r="D232" s="85"/>
      <c r="E232" s="84"/>
      <c r="F232" s="84"/>
      <c r="G232" s="84"/>
      <c r="H232" s="84"/>
      <c r="I232" s="84"/>
      <c r="J232" s="84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  <c r="BS232" s="31"/>
      <c r="BT232" s="31"/>
      <c r="BU232" s="31"/>
      <c r="BV232" s="31"/>
      <c r="BW232" s="31"/>
      <c r="BX232" s="31"/>
      <c r="BY232" s="31"/>
      <c r="BZ232" s="31"/>
      <c r="CA232" s="31"/>
      <c r="CB232" s="31"/>
      <c r="CC232" s="31"/>
      <c r="CD232" s="31"/>
      <c r="CE232" s="31"/>
      <c r="CF232" s="31"/>
      <c r="CG232" s="31"/>
      <c r="CH232" s="31"/>
      <c r="CI232" s="31"/>
      <c r="CJ232" s="31"/>
      <c r="CK232" s="31"/>
      <c r="CL232" s="31"/>
      <c r="CM232" s="31"/>
      <c r="CN232" s="31"/>
      <c r="CO232" s="31"/>
      <c r="CP232" s="31"/>
      <c r="CQ232" s="31"/>
      <c r="CR232" s="31"/>
      <c r="CS232" s="31"/>
      <c r="CT232" s="31"/>
      <c r="CU232" s="31"/>
      <c r="CV232" s="31"/>
      <c r="CW232" s="31"/>
    </row>
    <row r="233" spans="1:101" x14ac:dyDescent="0.25">
      <c r="A233" s="83"/>
      <c r="B233" s="84"/>
      <c r="C233" s="84"/>
      <c r="D233" s="85"/>
      <c r="E233" s="84"/>
      <c r="F233" s="84"/>
      <c r="G233" s="84"/>
      <c r="H233" s="84"/>
      <c r="I233" s="84"/>
      <c r="J233" s="84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  <c r="BS233" s="31"/>
      <c r="BT233" s="31"/>
      <c r="BU233" s="31"/>
      <c r="BV233" s="31"/>
      <c r="BW233" s="31"/>
      <c r="BX233" s="31"/>
      <c r="BY233" s="31"/>
      <c r="BZ233" s="31"/>
      <c r="CA233" s="31"/>
      <c r="CB233" s="31"/>
      <c r="CC233" s="31"/>
      <c r="CD233" s="31"/>
      <c r="CE233" s="31"/>
      <c r="CF233" s="31"/>
      <c r="CG233" s="31"/>
      <c r="CH233" s="31"/>
      <c r="CI233" s="31"/>
      <c r="CJ233" s="31"/>
      <c r="CK233" s="31"/>
      <c r="CL233" s="31"/>
      <c r="CM233" s="31"/>
      <c r="CN233" s="31"/>
      <c r="CO233" s="31"/>
      <c r="CP233" s="31"/>
      <c r="CQ233" s="31"/>
      <c r="CR233" s="31"/>
      <c r="CS233" s="31"/>
      <c r="CT233" s="31"/>
      <c r="CU233" s="31"/>
      <c r="CV233" s="31"/>
      <c r="CW233" s="31"/>
    </row>
    <row r="234" spans="1:101" x14ac:dyDescent="0.25">
      <c r="A234" s="83"/>
      <c r="B234" s="84"/>
      <c r="C234" s="84"/>
      <c r="D234" s="85"/>
      <c r="E234" s="84"/>
      <c r="F234" s="84"/>
      <c r="G234" s="84"/>
      <c r="H234" s="84"/>
      <c r="I234" s="84"/>
      <c r="J234" s="84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  <c r="BS234" s="31"/>
      <c r="BT234" s="31"/>
      <c r="BU234" s="31"/>
      <c r="BV234" s="31"/>
      <c r="BW234" s="31"/>
      <c r="BX234" s="31"/>
      <c r="BY234" s="31"/>
      <c r="BZ234" s="31"/>
      <c r="CA234" s="31"/>
      <c r="CB234" s="31"/>
      <c r="CC234" s="31"/>
      <c r="CD234" s="31"/>
      <c r="CE234" s="31"/>
      <c r="CF234" s="31"/>
      <c r="CG234" s="31"/>
      <c r="CH234" s="31"/>
      <c r="CI234" s="31"/>
      <c r="CJ234" s="31"/>
      <c r="CK234" s="31"/>
      <c r="CL234" s="31"/>
      <c r="CM234" s="31"/>
      <c r="CN234" s="31"/>
      <c r="CO234" s="31"/>
      <c r="CP234" s="31"/>
      <c r="CQ234" s="31"/>
      <c r="CR234" s="31"/>
      <c r="CS234" s="31"/>
      <c r="CT234" s="31"/>
      <c r="CU234" s="31"/>
      <c r="CV234" s="31"/>
      <c r="CW234" s="31"/>
    </row>
    <row r="235" spans="1:101" x14ac:dyDescent="0.25">
      <c r="A235" s="83"/>
      <c r="B235" s="84"/>
      <c r="C235" s="84"/>
      <c r="D235" s="85"/>
      <c r="E235" s="84"/>
      <c r="F235" s="84"/>
      <c r="G235" s="84"/>
      <c r="H235" s="84"/>
      <c r="I235" s="84"/>
      <c r="J235" s="84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  <c r="BS235" s="31"/>
      <c r="BT235" s="31"/>
      <c r="BU235" s="31"/>
      <c r="BV235" s="31"/>
      <c r="BW235" s="31"/>
      <c r="BX235" s="31"/>
      <c r="BY235" s="31"/>
      <c r="BZ235" s="31"/>
      <c r="CA235" s="31"/>
      <c r="CB235" s="31"/>
      <c r="CC235" s="31"/>
      <c r="CD235" s="31"/>
      <c r="CE235" s="31"/>
      <c r="CF235" s="31"/>
      <c r="CG235" s="31"/>
      <c r="CH235" s="31"/>
      <c r="CI235" s="31"/>
      <c r="CJ235" s="31"/>
      <c r="CK235" s="31"/>
      <c r="CL235" s="31"/>
      <c r="CM235" s="31"/>
      <c r="CN235" s="31"/>
      <c r="CO235" s="31"/>
      <c r="CP235" s="31"/>
      <c r="CQ235" s="31"/>
      <c r="CR235" s="31"/>
      <c r="CS235" s="31"/>
      <c r="CT235" s="31"/>
      <c r="CU235" s="31"/>
      <c r="CV235" s="31"/>
      <c r="CW235" s="31"/>
    </row>
    <row r="236" spans="1:101" x14ac:dyDescent="0.25">
      <c r="A236" s="83"/>
      <c r="B236" s="84"/>
      <c r="C236" s="84"/>
      <c r="D236" s="85"/>
      <c r="E236" s="84"/>
      <c r="F236" s="84"/>
      <c r="G236" s="84"/>
      <c r="H236" s="84"/>
      <c r="I236" s="84"/>
      <c r="J236" s="84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  <c r="BS236" s="31"/>
      <c r="BT236" s="31"/>
      <c r="BU236" s="31"/>
      <c r="BV236" s="31"/>
      <c r="BW236" s="31"/>
      <c r="BX236" s="31"/>
      <c r="BY236" s="31"/>
      <c r="BZ236" s="31"/>
      <c r="CA236" s="31"/>
      <c r="CB236" s="31"/>
      <c r="CC236" s="31"/>
      <c r="CD236" s="31"/>
      <c r="CE236" s="31"/>
      <c r="CF236" s="31"/>
      <c r="CG236" s="31"/>
      <c r="CH236" s="31"/>
      <c r="CI236" s="31"/>
      <c r="CJ236" s="31"/>
      <c r="CK236" s="31"/>
      <c r="CL236" s="31"/>
      <c r="CM236" s="31"/>
      <c r="CN236" s="31"/>
      <c r="CO236" s="31"/>
      <c r="CP236" s="31"/>
      <c r="CQ236" s="31"/>
      <c r="CR236" s="31"/>
      <c r="CS236" s="31"/>
      <c r="CT236" s="31"/>
      <c r="CU236" s="31"/>
      <c r="CV236" s="31"/>
      <c r="CW236" s="31"/>
    </row>
    <row r="237" spans="1:101" x14ac:dyDescent="0.25">
      <c r="A237" s="83"/>
      <c r="B237" s="84"/>
      <c r="C237" s="84"/>
      <c r="D237" s="85"/>
      <c r="E237" s="84"/>
      <c r="F237" s="84"/>
      <c r="G237" s="84"/>
      <c r="H237" s="84"/>
      <c r="I237" s="84"/>
      <c r="J237" s="84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  <c r="BS237" s="31"/>
      <c r="BT237" s="31"/>
      <c r="BU237" s="31"/>
      <c r="BV237" s="31"/>
      <c r="BW237" s="31"/>
      <c r="BX237" s="31"/>
      <c r="BY237" s="31"/>
      <c r="BZ237" s="31"/>
      <c r="CA237" s="31"/>
      <c r="CB237" s="31"/>
      <c r="CC237" s="31"/>
      <c r="CD237" s="31"/>
      <c r="CE237" s="31"/>
      <c r="CF237" s="31"/>
      <c r="CG237" s="31"/>
      <c r="CH237" s="31"/>
      <c r="CI237" s="31"/>
      <c r="CJ237" s="31"/>
      <c r="CK237" s="31"/>
      <c r="CL237" s="31"/>
      <c r="CM237" s="31"/>
      <c r="CN237" s="31"/>
      <c r="CO237" s="31"/>
      <c r="CP237" s="31"/>
      <c r="CQ237" s="31"/>
      <c r="CR237" s="31"/>
      <c r="CS237" s="31"/>
      <c r="CT237" s="31"/>
      <c r="CU237" s="31"/>
      <c r="CV237" s="31"/>
      <c r="CW237" s="31"/>
    </row>
    <row r="238" spans="1:101" x14ac:dyDescent="0.25">
      <c r="A238" s="83"/>
      <c r="B238" s="84"/>
      <c r="C238" s="84"/>
      <c r="D238" s="85"/>
      <c r="E238" s="84"/>
      <c r="F238" s="84"/>
      <c r="G238" s="84"/>
      <c r="H238" s="84"/>
      <c r="I238" s="84"/>
      <c r="J238" s="84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  <c r="BS238" s="31"/>
      <c r="BT238" s="31"/>
      <c r="BU238" s="31"/>
      <c r="BV238" s="31"/>
      <c r="BW238" s="31"/>
      <c r="BX238" s="31"/>
      <c r="BY238" s="31"/>
      <c r="BZ238" s="31"/>
      <c r="CA238" s="31"/>
      <c r="CB238" s="31"/>
      <c r="CC238" s="31"/>
      <c r="CD238" s="31"/>
      <c r="CE238" s="31"/>
      <c r="CF238" s="31"/>
      <c r="CG238" s="31"/>
      <c r="CH238" s="31"/>
      <c r="CI238" s="31"/>
      <c r="CJ238" s="31"/>
      <c r="CK238" s="31"/>
      <c r="CL238" s="31"/>
      <c r="CM238" s="31"/>
      <c r="CN238" s="31"/>
      <c r="CO238" s="31"/>
      <c r="CP238" s="31"/>
      <c r="CQ238" s="31"/>
      <c r="CR238" s="31"/>
      <c r="CS238" s="31"/>
      <c r="CT238" s="31"/>
      <c r="CU238" s="31"/>
      <c r="CV238" s="31"/>
      <c r="CW238" s="31"/>
    </row>
    <row r="239" spans="1:101" x14ac:dyDescent="0.25">
      <c r="A239" s="83"/>
      <c r="B239" s="84"/>
      <c r="C239" s="84"/>
      <c r="D239" s="85"/>
      <c r="E239" s="84"/>
      <c r="F239" s="84"/>
      <c r="G239" s="84"/>
      <c r="H239" s="84"/>
      <c r="I239" s="84"/>
      <c r="J239" s="84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  <c r="BS239" s="31"/>
      <c r="BT239" s="31"/>
      <c r="BU239" s="31"/>
      <c r="BV239" s="31"/>
      <c r="BW239" s="31"/>
      <c r="BX239" s="31"/>
      <c r="BY239" s="31"/>
      <c r="BZ239" s="31"/>
      <c r="CA239" s="31"/>
      <c r="CB239" s="31"/>
      <c r="CC239" s="31"/>
      <c r="CD239" s="31"/>
      <c r="CE239" s="31"/>
      <c r="CF239" s="31"/>
      <c r="CG239" s="31"/>
      <c r="CH239" s="31"/>
      <c r="CI239" s="31"/>
      <c r="CJ239" s="31"/>
      <c r="CK239" s="31"/>
      <c r="CL239" s="31"/>
      <c r="CM239" s="31"/>
      <c r="CN239" s="31"/>
      <c r="CO239" s="31"/>
      <c r="CP239" s="31"/>
      <c r="CQ239" s="31"/>
      <c r="CR239" s="31"/>
      <c r="CS239" s="31"/>
      <c r="CT239" s="31"/>
      <c r="CU239" s="31"/>
      <c r="CV239" s="31"/>
      <c r="CW239" s="31"/>
    </row>
    <row r="240" spans="1:101" x14ac:dyDescent="0.25">
      <c r="A240" s="83"/>
      <c r="B240" s="84"/>
      <c r="C240" s="84"/>
      <c r="D240" s="85"/>
      <c r="E240" s="84"/>
      <c r="F240" s="84"/>
      <c r="G240" s="84"/>
      <c r="H240" s="84"/>
      <c r="I240" s="84"/>
      <c r="J240" s="84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  <c r="BS240" s="31"/>
      <c r="BT240" s="31"/>
      <c r="BU240" s="31"/>
      <c r="BV240" s="31"/>
      <c r="BW240" s="31"/>
      <c r="BX240" s="31"/>
      <c r="BY240" s="31"/>
      <c r="BZ240" s="31"/>
      <c r="CA240" s="31"/>
      <c r="CB240" s="31"/>
      <c r="CC240" s="31"/>
      <c r="CD240" s="31"/>
      <c r="CE240" s="31"/>
      <c r="CF240" s="31"/>
      <c r="CG240" s="31"/>
      <c r="CH240" s="31"/>
      <c r="CI240" s="31"/>
      <c r="CJ240" s="31"/>
      <c r="CK240" s="31"/>
      <c r="CL240" s="31"/>
      <c r="CM240" s="31"/>
      <c r="CN240" s="31"/>
      <c r="CO240" s="31"/>
      <c r="CP240" s="31"/>
      <c r="CQ240" s="31"/>
      <c r="CR240" s="31"/>
      <c r="CS240" s="31"/>
      <c r="CT240" s="31"/>
      <c r="CU240" s="31"/>
      <c r="CV240" s="31"/>
      <c r="CW240" s="31"/>
    </row>
    <row r="241" spans="1:101" x14ac:dyDescent="0.25">
      <c r="A241" s="83"/>
      <c r="B241" s="84"/>
      <c r="C241" s="84"/>
      <c r="D241" s="85"/>
      <c r="E241" s="84"/>
      <c r="F241" s="84"/>
      <c r="G241" s="84"/>
      <c r="H241" s="84"/>
      <c r="I241" s="84"/>
      <c r="J241" s="84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  <c r="BS241" s="31"/>
      <c r="BT241" s="31"/>
      <c r="BU241" s="31"/>
      <c r="BV241" s="31"/>
      <c r="BW241" s="31"/>
      <c r="BX241" s="31"/>
      <c r="BY241" s="31"/>
      <c r="BZ241" s="31"/>
      <c r="CA241" s="31"/>
      <c r="CB241" s="31"/>
      <c r="CC241" s="31"/>
      <c r="CD241" s="31"/>
      <c r="CE241" s="31"/>
      <c r="CF241" s="31"/>
      <c r="CG241" s="31"/>
      <c r="CH241" s="31"/>
      <c r="CI241" s="31"/>
      <c r="CJ241" s="31"/>
      <c r="CK241" s="31"/>
      <c r="CL241" s="31"/>
      <c r="CM241" s="31"/>
      <c r="CN241" s="31"/>
      <c r="CO241" s="31"/>
      <c r="CP241" s="31"/>
      <c r="CQ241" s="31"/>
      <c r="CR241" s="31"/>
      <c r="CS241" s="31"/>
      <c r="CT241" s="31"/>
      <c r="CU241" s="31"/>
      <c r="CV241" s="31"/>
      <c r="CW241" s="31"/>
    </row>
    <row r="242" spans="1:101" x14ac:dyDescent="0.25">
      <c r="A242" s="83"/>
      <c r="B242" s="84"/>
      <c r="C242" s="84"/>
      <c r="D242" s="85"/>
      <c r="E242" s="84"/>
      <c r="F242" s="84"/>
      <c r="G242" s="84"/>
      <c r="H242" s="84"/>
      <c r="I242" s="84"/>
      <c r="J242" s="84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  <c r="BS242" s="31"/>
      <c r="BT242" s="31"/>
      <c r="BU242" s="31"/>
      <c r="BV242" s="31"/>
      <c r="BW242" s="31"/>
      <c r="BX242" s="31"/>
      <c r="BY242" s="31"/>
      <c r="BZ242" s="31"/>
      <c r="CA242" s="31"/>
      <c r="CB242" s="31"/>
      <c r="CC242" s="31"/>
      <c r="CD242" s="31"/>
      <c r="CE242" s="31"/>
      <c r="CF242" s="31"/>
      <c r="CG242" s="31"/>
      <c r="CH242" s="31"/>
      <c r="CI242" s="31"/>
      <c r="CJ242" s="31"/>
      <c r="CK242" s="31"/>
      <c r="CL242" s="31"/>
      <c r="CM242" s="31"/>
      <c r="CN242" s="31"/>
      <c r="CO242" s="31"/>
      <c r="CP242" s="31"/>
      <c r="CQ242" s="31"/>
      <c r="CR242" s="31"/>
      <c r="CS242" s="31"/>
      <c r="CT242" s="31"/>
      <c r="CU242" s="31"/>
      <c r="CV242" s="31"/>
      <c r="CW242" s="31"/>
    </row>
    <row r="243" spans="1:101" x14ac:dyDescent="0.25">
      <c r="A243" s="83"/>
      <c r="B243" s="84"/>
      <c r="C243" s="84"/>
      <c r="D243" s="85"/>
      <c r="E243" s="84"/>
      <c r="F243" s="84"/>
      <c r="G243" s="84"/>
      <c r="H243" s="84"/>
      <c r="I243" s="84"/>
      <c r="J243" s="84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  <c r="BS243" s="31"/>
      <c r="BT243" s="31"/>
      <c r="BU243" s="31"/>
      <c r="BV243" s="31"/>
      <c r="BW243" s="31"/>
      <c r="BX243" s="31"/>
      <c r="BY243" s="31"/>
      <c r="BZ243" s="31"/>
      <c r="CA243" s="31"/>
      <c r="CB243" s="31"/>
      <c r="CC243" s="31"/>
      <c r="CD243" s="31"/>
      <c r="CE243" s="31"/>
      <c r="CF243" s="31"/>
      <c r="CG243" s="31"/>
      <c r="CH243" s="31"/>
      <c r="CI243" s="31"/>
      <c r="CJ243" s="31"/>
      <c r="CK243" s="31"/>
      <c r="CL243" s="31"/>
      <c r="CM243" s="31"/>
      <c r="CN243" s="31"/>
      <c r="CO243" s="31"/>
      <c r="CP243" s="31"/>
      <c r="CQ243" s="31"/>
      <c r="CR243" s="31"/>
      <c r="CS243" s="31"/>
      <c r="CT243" s="31"/>
      <c r="CU243" s="31"/>
      <c r="CV243" s="31"/>
      <c r="CW243" s="31"/>
    </row>
    <row r="244" spans="1:101" x14ac:dyDescent="0.25">
      <c r="A244" s="83"/>
      <c r="B244" s="84"/>
      <c r="C244" s="84"/>
      <c r="D244" s="85"/>
      <c r="E244" s="84"/>
      <c r="F244" s="84"/>
      <c r="G244" s="84"/>
      <c r="H244" s="84"/>
      <c r="I244" s="84"/>
      <c r="J244" s="84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  <c r="BS244" s="31"/>
      <c r="BT244" s="31"/>
      <c r="BU244" s="31"/>
      <c r="BV244" s="31"/>
      <c r="BW244" s="31"/>
      <c r="BX244" s="31"/>
      <c r="BY244" s="31"/>
      <c r="BZ244" s="31"/>
      <c r="CA244" s="31"/>
      <c r="CB244" s="31"/>
      <c r="CC244" s="31"/>
      <c r="CD244" s="31"/>
      <c r="CE244" s="31"/>
      <c r="CF244" s="31"/>
      <c r="CG244" s="31"/>
      <c r="CH244" s="31"/>
      <c r="CI244" s="31"/>
      <c r="CJ244" s="31"/>
      <c r="CK244" s="31"/>
      <c r="CL244" s="31"/>
      <c r="CM244" s="31"/>
      <c r="CN244" s="31"/>
      <c r="CO244" s="31"/>
      <c r="CP244" s="31"/>
      <c r="CQ244" s="31"/>
      <c r="CR244" s="31"/>
      <c r="CS244" s="31"/>
      <c r="CT244" s="31"/>
      <c r="CU244" s="31"/>
      <c r="CV244" s="31"/>
      <c r="CW244" s="31"/>
    </row>
    <row r="245" spans="1:101" x14ac:dyDescent="0.25">
      <c r="A245" s="83"/>
      <c r="B245" s="84"/>
      <c r="C245" s="84"/>
      <c r="D245" s="85"/>
      <c r="E245" s="84"/>
      <c r="F245" s="84"/>
      <c r="G245" s="84"/>
      <c r="H245" s="84"/>
      <c r="I245" s="84"/>
      <c r="J245" s="84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  <c r="BS245" s="31"/>
      <c r="BT245" s="31"/>
      <c r="BU245" s="31"/>
      <c r="BV245" s="31"/>
      <c r="BW245" s="31"/>
      <c r="BX245" s="31"/>
      <c r="BY245" s="31"/>
      <c r="BZ245" s="31"/>
      <c r="CA245" s="31"/>
      <c r="CB245" s="31"/>
      <c r="CC245" s="31"/>
      <c r="CD245" s="31"/>
      <c r="CE245" s="31"/>
      <c r="CF245" s="31"/>
      <c r="CG245" s="31"/>
      <c r="CH245" s="31"/>
      <c r="CI245" s="31"/>
      <c r="CJ245" s="31"/>
      <c r="CK245" s="31"/>
      <c r="CL245" s="31"/>
      <c r="CM245" s="31"/>
      <c r="CN245" s="31"/>
      <c r="CO245" s="31"/>
      <c r="CP245" s="31"/>
      <c r="CQ245" s="31"/>
      <c r="CR245" s="31"/>
      <c r="CS245" s="31"/>
      <c r="CT245" s="31"/>
      <c r="CU245" s="31"/>
      <c r="CV245" s="31"/>
      <c r="CW245" s="31"/>
    </row>
    <row r="246" spans="1:101" x14ac:dyDescent="0.25">
      <c r="A246" s="83"/>
      <c r="B246" s="84"/>
      <c r="C246" s="84"/>
      <c r="D246" s="85"/>
      <c r="E246" s="84"/>
      <c r="F246" s="84"/>
      <c r="G246" s="84"/>
      <c r="H246" s="84"/>
      <c r="I246" s="84"/>
      <c r="J246" s="84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  <c r="BS246" s="31"/>
      <c r="BT246" s="31"/>
      <c r="BU246" s="31"/>
      <c r="BV246" s="31"/>
      <c r="BW246" s="31"/>
      <c r="BX246" s="31"/>
      <c r="BY246" s="31"/>
      <c r="BZ246" s="31"/>
      <c r="CA246" s="31"/>
      <c r="CB246" s="31"/>
      <c r="CC246" s="31"/>
      <c r="CD246" s="31"/>
      <c r="CE246" s="31"/>
      <c r="CF246" s="31"/>
      <c r="CG246" s="31"/>
      <c r="CH246" s="31"/>
      <c r="CI246" s="31"/>
      <c r="CJ246" s="31"/>
      <c r="CK246" s="31"/>
      <c r="CL246" s="31"/>
      <c r="CM246" s="31"/>
      <c r="CN246" s="31"/>
      <c r="CO246" s="31"/>
      <c r="CP246" s="31"/>
      <c r="CQ246" s="31"/>
      <c r="CR246" s="31"/>
      <c r="CS246" s="31"/>
      <c r="CT246" s="31"/>
      <c r="CU246" s="31"/>
      <c r="CV246" s="31"/>
      <c r="CW246" s="31"/>
    </row>
    <row r="247" spans="1:101" x14ac:dyDescent="0.25">
      <c r="A247" s="83"/>
      <c r="B247" s="84"/>
      <c r="C247" s="84"/>
      <c r="D247" s="85"/>
      <c r="E247" s="84"/>
      <c r="F247" s="84"/>
      <c r="G247" s="84"/>
      <c r="H247" s="84"/>
      <c r="I247" s="84"/>
      <c r="J247" s="84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  <c r="CF247" s="31"/>
      <c r="CG247" s="31"/>
      <c r="CH247" s="31"/>
      <c r="CI247" s="31"/>
      <c r="CJ247" s="31"/>
      <c r="CK247" s="31"/>
      <c r="CL247" s="31"/>
      <c r="CM247" s="31"/>
      <c r="CN247" s="31"/>
      <c r="CO247" s="31"/>
      <c r="CP247" s="31"/>
      <c r="CQ247" s="31"/>
      <c r="CR247" s="31"/>
      <c r="CS247" s="31"/>
      <c r="CT247" s="31"/>
      <c r="CU247" s="31"/>
      <c r="CV247" s="31"/>
      <c r="CW247" s="31"/>
    </row>
    <row r="248" spans="1:101" x14ac:dyDescent="0.25">
      <c r="A248" s="83"/>
      <c r="B248" s="84"/>
      <c r="C248" s="84"/>
      <c r="D248" s="85"/>
      <c r="E248" s="84"/>
      <c r="F248" s="84"/>
      <c r="G248" s="84"/>
      <c r="H248" s="84"/>
      <c r="I248" s="84"/>
      <c r="J248" s="84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  <c r="BS248" s="31"/>
      <c r="BT248" s="31"/>
      <c r="BU248" s="31"/>
      <c r="BV248" s="31"/>
      <c r="BW248" s="31"/>
      <c r="BX248" s="31"/>
      <c r="BY248" s="31"/>
      <c r="BZ248" s="31"/>
      <c r="CA248" s="31"/>
      <c r="CB248" s="31"/>
      <c r="CC248" s="31"/>
      <c r="CD248" s="31"/>
      <c r="CE248" s="31"/>
      <c r="CF248" s="31"/>
      <c r="CG248" s="31"/>
      <c r="CH248" s="31"/>
      <c r="CI248" s="31"/>
      <c r="CJ248" s="31"/>
      <c r="CK248" s="31"/>
      <c r="CL248" s="31"/>
      <c r="CM248" s="31"/>
      <c r="CN248" s="31"/>
      <c r="CO248" s="31"/>
      <c r="CP248" s="31"/>
      <c r="CQ248" s="31"/>
      <c r="CR248" s="31"/>
      <c r="CS248" s="31"/>
      <c r="CT248" s="31"/>
      <c r="CU248" s="31"/>
      <c r="CV248" s="31"/>
      <c r="CW248" s="31"/>
    </row>
    <row r="249" spans="1:101" x14ac:dyDescent="0.25">
      <c r="A249" s="83"/>
      <c r="B249" s="84"/>
      <c r="C249" s="84"/>
      <c r="D249" s="85"/>
      <c r="E249" s="84"/>
      <c r="F249" s="84"/>
      <c r="G249" s="84"/>
      <c r="H249" s="84"/>
      <c r="I249" s="84"/>
      <c r="J249" s="84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  <c r="BS249" s="31"/>
      <c r="BT249" s="31"/>
      <c r="BU249" s="31"/>
      <c r="BV249" s="31"/>
      <c r="BW249" s="31"/>
      <c r="BX249" s="31"/>
      <c r="BY249" s="31"/>
      <c r="BZ249" s="31"/>
      <c r="CA249" s="31"/>
      <c r="CB249" s="31"/>
      <c r="CC249" s="31"/>
      <c r="CD249" s="31"/>
      <c r="CE249" s="31"/>
      <c r="CF249" s="31"/>
      <c r="CG249" s="31"/>
      <c r="CH249" s="31"/>
      <c r="CI249" s="31"/>
      <c r="CJ249" s="31"/>
      <c r="CK249" s="31"/>
      <c r="CL249" s="31"/>
      <c r="CM249" s="31"/>
      <c r="CN249" s="31"/>
      <c r="CO249" s="31"/>
      <c r="CP249" s="31"/>
      <c r="CQ249" s="31"/>
      <c r="CR249" s="31"/>
      <c r="CS249" s="31"/>
      <c r="CT249" s="31"/>
      <c r="CU249" s="31"/>
      <c r="CV249" s="31"/>
      <c r="CW249" s="31"/>
    </row>
    <row r="250" spans="1:101" x14ac:dyDescent="0.25">
      <c r="A250" s="83"/>
      <c r="B250" s="84"/>
      <c r="C250" s="84"/>
      <c r="D250" s="85"/>
      <c r="E250" s="84"/>
      <c r="F250" s="84"/>
      <c r="G250" s="84"/>
      <c r="H250" s="84"/>
      <c r="I250" s="84"/>
      <c r="J250" s="84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  <c r="BS250" s="31"/>
      <c r="BT250" s="31"/>
      <c r="BU250" s="31"/>
      <c r="BV250" s="31"/>
      <c r="BW250" s="31"/>
      <c r="BX250" s="31"/>
      <c r="BY250" s="31"/>
      <c r="BZ250" s="31"/>
      <c r="CA250" s="31"/>
      <c r="CB250" s="31"/>
      <c r="CC250" s="31"/>
      <c r="CD250" s="31"/>
      <c r="CE250" s="31"/>
      <c r="CF250" s="31"/>
      <c r="CG250" s="31"/>
      <c r="CH250" s="31"/>
      <c r="CI250" s="31"/>
      <c r="CJ250" s="31"/>
      <c r="CK250" s="31"/>
      <c r="CL250" s="31"/>
      <c r="CM250" s="31"/>
      <c r="CN250" s="31"/>
      <c r="CO250" s="31"/>
      <c r="CP250" s="31"/>
      <c r="CQ250" s="31"/>
      <c r="CR250" s="31"/>
      <c r="CS250" s="31"/>
      <c r="CT250" s="31"/>
      <c r="CU250" s="31"/>
      <c r="CV250" s="31"/>
      <c r="CW250" s="31"/>
    </row>
    <row r="251" spans="1:101" x14ac:dyDescent="0.25">
      <c r="A251" s="83"/>
      <c r="B251" s="84"/>
      <c r="C251" s="84"/>
      <c r="D251" s="85"/>
      <c r="E251" s="84"/>
      <c r="F251" s="84"/>
      <c r="G251" s="84"/>
      <c r="H251" s="84"/>
      <c r="I251" s="84"/>
      <c r="J251" s="84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  <c r="BS251" s="31"/>
      <c r="BT251" s="31"/>
      <c r="BU251" s="31"/>
      <c r="BV251" s="31"/>
      <c r="BW251" s="31"/>
      <c r="BX251" s="31"/>
      <c r="BY251" s="31"/>
      <c r="BZ251" s="31"/>
      <c r="CA251" s="31"/>
      <c r="CB251" s="31"/>
      <c r="CC251" s="31"/>
      <c r="CD251" s="31"/>
      <c r="CE251" s="31"/>
      <c r="CF251" s="31"/>
      <c r="CG251" s="31"/>
      <c r="CH251" s="31"/>
      <c r="CI251" s="31"/>
      <c r="CJ251" s="31"/>
      <c r="CK251" s="31"/>
      <c r="CL251" s="31"/>
      <c r="CM251" s="31"/>
      <c r="CN251" s="31"/>
      <c r="CO251" s="31"/>
      <c r="CP251" s="31"/>
      <c r="CQ251" s="31"/>
      <c r="CR251" s="31"/>
      <c r="CS251" s="31"/>
      <c r="CT251" s="31"/>
      <c r="CU251" s="31"/>
      <c r="CV251" s="31"/>
      <c r="CW251" s="31"/>
    </row>
    <row r="252" spans="1:101" x14ac:dyDescent="0.25">
      <c r="A252" s="83"/>
      <c r="B252" s="84"/>
      <c r="C252" s="84"/>
      <c r="D252" s="85"/>
      <c r="E252" s="84"/>
      <c r="F252" s="84"/>
      <c r="G252" s="84"/>
      <c r="H252" s="84"/>
      <c r="I252" s="84"/>
      <c r="J252" s="84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  <c r="BS252" s="31"/>
      <c r="BT252" s="31"/>
      <c r="BU252" s="31"/>
      <c r="BV252" s="31"/>
      <c r="BW252" s="31"/>
      <c r="BX252" s="31"/>
      <c r="BY252" s="31"/>
      <c r="BZ252" s="31"/>
      <c r="CA252" s="31"/>
      <c r="CB252" s="31"/>
      <c r="CC252" s="31"/>
      <c r="CD252" s="31"/>
      <c r="CE252" s="31"/>
      <c r="CF252" s="31"/>
      <c r="CG252" s="31"/>
      <c r="CH252" s="31"/>
      <c r="CI252" s="31"/>
      <c r="CJ252" s="31"/>
      <c r="CK252" s="31"/>
      <c r="CL252" s="31"/>
      <c r="CM252" s="31"/>
      <c r="CN252" s="31"/>
      <c r="CO252" s="31"/>
      <c r="CP252" s="31"/>
      <c r="CQ252" s="31"/>
      <c r="CR252" s="31"/>
      <c r="CS252" s="31"/>
      <c r="CT252" s="31"/>
      <c r="CU252" s="31"/>
      <c r="CV252" s="31"/>
      <c r="CW252" s="31"/>
    </row>
    <row r="253" spans="1:101" x14ac:dyDescent="0.25">
      <c r="A253" s="83"/>
      <c r="B253" s="84"/>
      <c r="C253" s="84"/>
      <c r="D253" s="85"/>
      <c r="E253" s="84"/>
      <c r="F253" s="84"/>
      <c r="G253" s="84"/>
      <c r="H253" s="84"/>
      <c r="I253" s="84"/>
      <c r="J253" s="84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  <c r="BS253" s="31"/>
      <c r="BT253" s="31"/>
      <c r="BU253" s="31"/>
      <c r="BV253" s="31"/>
      <c r="BW253" s="31"/>
      <c r="BX253" s="31"/>
      <c r="BY253" s="31"/>
      <c r="BZ253" s="31"/>
      <c r="CA253" s="31"/>
      <c r="CB253" s="31"/>
      <c r="CC253" s="31"/>
      <c r="CD253" s="31"/>
      <c r="CE253" s="31"/>
      <c r="CF253" s="31"/>
      <c r="CG253" s="31"/>
      <c r="CH253" s="31"/>
      <c r="CI253" s="31"/>
      <c r="CJ253" s="31"/>
      <c r="CK253" s="31"/>
      <c r="CL253" s="31"/>
      <c r="CM253" s="31"/>
      <c r="CN253" s="31"/>
      <c r="CO253" s="31"/>
      <c r="CP253" s="31"/>
      <c r="CQ253" s="31"/>
      <c r="CR253" s="31"/>
      <c r="CS253" s="31"/>
      <c r="CT253" s="31"/>
      <c r="CU253" s="31"/>
      <c r="CV253" s="31"/>
      <c r="CW253" s="31"/>
    </row>
    <row r="254" spans="1:101" x14ac:dyDescent="0.25">
      <c r="A254" s="83"/>
      <c r="B254" s="84"/>
      <c r="C254" s="84"/>
      <c r="D254" s="85"/>
      <c r="E254" s="84"/>
      <c r="F254" s="84"/>
      <c r="G254" s="84"/>
      <c r="H254" s="84"/>
      <c r="I254" s="84"/>
      <c r="J254" s="84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  <c r="BS254" s="31"/>
      <c r="BT254" s="31"/>
      <c r="BU254" s="31"/>
      <c r="BV254" s="31"/>
      <c r="BW254" s="31"/>
      <c r="BX254" s="31"/>
      <c r="BY254" s="31"/>
      <c r="BZ254" s="31"/>
      <c r="CA254" s="31"/>
      <c r="CB254" s="31"/>
      <c r="CC254" s="31"/>
      <c r="CD254" s="31"/>
      <c r="CE254" s="31"/>
      <c r="CF254" s="31"/>
      <c r="CG254" s="31"/>
      <c r="CH254" s="31"/>
      <c r="CI254" s="31"/>
      <c r="CJ254" s="31"/>
      <c r="CK254" s="31"/>
      <c r="CL254" s="31"/>
      <c r="CM254" s="31"/>
      <c r="CN254" s="31"/>
      <c r="CO254" s="31"/>
      <c r="CP254" s="31"/>
      <c r="CQ254" s="31"/>
      <c r="CR254" s="31"/>
      <c r="CS254" s="31"/>
      <c r="CT254" s="31"/>
      <c r="CU254" s="31"/>
      <c r="CV254" s="31"/>
      <c r="CW254" s="31"/>
    </row>
    <row r="255" spans="1:101" x14ac:dyDescent="0.25">
      <c r="A255" s="83"/>
      <c r="B255" s="84"/>
      <c r="C255" s="84"/>
      <c r="D255" s="85"/>
      <c r="E255" s="84"/>
      <c r="F255" s="84"/>
      <c r="G255" s="84"/>
      <c r="H255" s="84"/>
      <c r="I255" s="84"/>
      <c r="J255" s="84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  <c r="BS255" s="31"/>
      <c r="BT255" s="31"/>
      <c r="BU255" s="31"/>
      <c r="BV255" s="31"/>
      <c r="BW255" s="31"/>
      <c r="BX255" s="31"/>
      <c r="BY255" s="31"/>
      <c r="BZ255" s="31"/>
      <c r="CA255" s="31"/>
      <c r="CB255" s="31"/>
      <c r="CC255" s="31"/>
      <c r="CD255" s="31"/>
      <c r="CE255" s="31"/>
      <c r="CF255" s="31"/>
      <c r="CG255" s="31"/>
      <c r="CH255" s="31"/>
      <c r="CI255" s="31"/>
      <c r="CJ255" s="31"/>
      <c r="CK255" s="31"/>
      <c r="CL255" s="31"/>
      <c r="CM255" s="31"/>
      <c r="CN255" s="31"/>
      <c r="CO255" s="31"/>
      <c r="CP255" s="31"/>
      <c r="CQ255" s="31"/>
      <c r="CR255" s="31"/>
      <c r="CS255" s="31"/>
      <c r="CT255" s="31"/>
      <c r="CU255" s="31"/>
      <c r="CV255" s="31"/>
      <c r="CW255" s="31"/>
    </row>
    <row r="256" spans="1:101" x14ac:dyDescent="0.25">
      <c r="A256" s="83"/>
      <c r="B256" s="84"/>
      <c r="C256" s="84"/>
      <c r="D256" s="85"/>
      <c r="E256" s="84"/>
      <c r="F256" s="84"/>
      <c r="G256" s="84"/>
      <c r="H256" s="84"/>
      <c r="I256" s="84"/>
      <c r="J256" s="84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  <c r="BS256" s="31"/>
      <c r="BT256" s="31"/>
      <c r="BU256" s="31"/>
      <c r="BV256" s="31"/>
      <c r="BW256" s="31"/>
      <c r="BX256" s="31"/>
      <c r="BY256" s="31"/>
      <c r="BZ256" s="31"/>
      <c r="CA256" s="31"/>
      <c r="CB256" s="31"/>
      <c r="CC256" s="31"/>
      <c r="CD256" s="31"/>
      <c r="CE256" s="31"/>
      <c r="CF256" s="31"/>
      <c r="CG256" s="31"/>
      <c r="CH256" s="31"/>
      <c r="CI256" s="31"/>
      <c r="CJ256" s="31"/>
      <c r="CK256" s="31"/>
      <c r="CL256" s="31"/>
      <c r="CM256" s="31"/>
      <c r="CN256" s="31"/>
      <c r="CO256" s="31"/>
      <c r="CP256" s="31"/>
      <c r="CQ256" s="31"/>
      <c r="CR256" s="31"/>
      <c r="CS256" s="31"/>
      <c r="CT256" s="31"/>
      <c r="CU256" s="31"/>
      <c r="CV256" s="31"/>
      <c r="CW256" s="31"/>
    </row>
    <row r="257" spans="1:101" x14ac:dyDescent="0.25">
      <c r="A257" s="83"/>
      <c r="B257" s="84"/>
      <c r="C257" s="84"/>
      <c r="D257" s="85"/>
      <c r="E257" s="84"/>
      <c r="F257" s="84"/>
      <c r="G257" s="84"/>
      <c r="H257" s="84"/>
      <c r="I257" s="84"/>
      <c r="J257" s="84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  <c r="BS257" s="31"/>
      <c r="BT257" s="31"/>
      <c r="BU257" s="31"/>
      <c r="BV257" s="31"/>
      <c r="BW257" s="31"/>
      <c r="BX257" s="31"/>
      <c r="BY257" s="31"/>
      <c r="BZ257" s="31"/>
      <c r="CA257" s="31"/>
      <c r="CB257" s="31"/>
      <c r="CC257" s="31"/>
      <c r="CD257" s="31"/>
      <c r="CE257" s="31"/>
      <c r="CF257" s="31"/>
      <c r="CG257" s="31"/>
      <c r="CH257" s="31"/>
      <c r="CI257" s="31"/>
      <c r="CJ257" s="31"/>
      <c r="CK257" s="31"/>
      <c r="CL257" s="31"/>
      <c r="CM257" s="31"/>
      <c r="CN257" s="31"/>
      <c r="CO257" s="31"/>
      <c r="CP257" s="31"/>
      <c r="CQ257" s="31"/>
      <c r="CR257" s="31"/>
      <c r="CS257" s="31"/>
      <c r="CT257" s="31"/>
      <c r="CU257" s="31"/>
      <c r="CV257" s="31"/>
      <c r="CW257" s="31"/>
    </row>
    <row r="258" spans="1:101" x14ac:dyDescent="0.25">
      <c r="A258" s="83"/>
      <c r="B258" s="84"/>
      <c r="C258" s="84"/>
      <c r="D258" s="85"/>
      <c r="E258" s="84"/>
      <c r="F258" s="84"/>
      <c r="G258" s="84"/>
      <c r="H258" s="84"/>
      <c r="I258" s="84"/>
      <c r="J258" s="84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  <c r="BS258" s="31"/>
      <c r="BT258" s="31"/>
      <c r="BU258" s="31"/>
      <c r="BV258" s="31"/>
      <c r="BW258" s="31"/>
      <c r="BX258" s="31"/>
      <c r="BY258" s="31"/>
      <c r="BZ258" s="31"/>
      <c r="CA258" s="31"/>
      <c r="CB258" s="31"/>
      <c r="CC258" s="31"/>
      <c r="CD258" s="31"/>
      <c r="CE258" s="31"/>
      <c r="CF258" s="31"/>
      <c r="CG258" s="31"/>
      <c r="CH258" s="31"/>
      <c r="CI258" s="31"/>
      <c r="CJ258" s="31"/>
      <c r="CK258" s="31"/>
      <c r="CL258" s="31"/>
      <c r="CM258" s="31"/>
      <c r="CN258" s="31"/>
      <c r="CO258" s="31"/>
      <c r="CP258" s="31"/>
      <c r="CQ258" s="31"/>
      <c r="CR258" s="31"/>
      <c r="CS258" s="31"/>
      <c r="CT258" s="31"/>
      <c r="CU258" s="31"/>
      <c r="CV258" s="31"/>
      <c r="CW258" s="31"/>
    </row>
    <row r="259" spans="1:101" x14ac:dyDescent="0.25">
      <c r="A259" s="83"/>
      <c r="B259" s="84"/>
      <c r="C259" s="84"/>
      <c r="D259" s="85"/>
      <c r="E259" s="84"/>
      <c r="F259" s="84"/>
      <c r="G259" s="84"/>
      <c r="H259" s="84"/>
      <c r="I259" s="84"/>
      <c r="J259" s="84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  <c r="BS259" s="31"/>
      <c r="BT259" s="31"/>
      <c r="BU259" s="31"/>
      <c r="BV259" s="31"/>
      <c r="BW259" s="31"/>
      <c r="BX259" s="31"/>
      <c r="BY259" s="31"/>
      <c r="BZ259" s="31"/>
      <c r="CA259" s="31"/>
      <c r="CB259" s="31"/>
      <c r="CC259" s="31"/>
      <c r="CD259" s="31"/>
      <c r="CE259" s="31"/>
      <c r="CF259" s="31"/>
      <c r="CG259" s="31"/>
      <c r="CH259" s="31"/>
      <c r="CI259" s="31"/>
      <c r="CJ259" s="31"/>
      <c r="CK259" s="31"/>
      <c r="CL259" s="31"/>
      <c r="CM259" s="31"/>
      <c r="CN259" s="31"/>
      <c r="CO259" s="31"/>
      <c r="CP259" s="31"/>
      <c r="CQ259" s="31"/>
      <c r="CR259" s="31"/>
      <c r="CS259" s="31"/>
      <c r="CT259" s="31"/>
      <c r="CU259" s="31"/>
      <c r="CV259" s="31"/>
      <c r="CW259" s="31"/>
    </row>
    <row r="260" spans="1:101" x14ac:dyDescent="0.25">
      <c r="A260" s="83"/>
      <c r="B260" s="84"/>
      <c r="C260" s="84"/>
      <c r="D260" s="85"/>
      <c r="E260" s="84"/>
      <c r="F260" s="84"/>
      <c r="G260" s="84"/>
      <c r="H260" s="84"/>
      <c r="I260" s="84"/>
      <c r="J260" s="84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  <c r="BS260" s="31"/>
      <c r="BT260" s="31"/>
      <c r="BU260" s="31"/>
      <c r="BV260" s="31"/>
      <c r="BW260" s="31"/>
      <c r="BX260" s="31"/>
      <c r="BY260" s="31"/>
      <c r="BZ260" s="31"/>
      <c r="CA260" s="31"/>
      <c r="CB260" s="31"/>
      <c r="CC260" s="31"/>
      <c r="CD260" s="31"/>
      <c r="CE260" s="31"/>
      <c r="CF260" s="31"/>
      <c r="CG260" s="31"/>
      <c r="CH260" s="31"/>
      <c r="CI260" s="31"/>
      <c r="CJ260" s="31"/>
      <c r="CK260" s="31"/>
      <c r="CL260" s="31"/>
      <c r="CM260" s="31"/>
      <c r="CN260" s="31"/>
      <c r="CO260" s="31"/>
      <c r="CP260" s="31"/>
      <c r="CQ260" s="31"/>
      <c r="CR260" s="31"/>
      <c r="CS260" s="31"/>
      <c r="CT260" s="31"/>
      <c r="CU260" s="31"/>
      <c r="CV260" s="31"/>
      <c r="CW260" s="31"/>
    </row>
    <row r="261" spans="1:101" x14ac:dyDescent="0.25">
      <c r="A261" s="83"/>
      <c r="B261" s="84"/>
      <c r="C261" s="84"/>
      <c r="D261" s="85"/>
      <c r="E261" s="84"/>
      <c r="F261" s="84"/>
      <c r="G261" s="84"/>
      <c r="H261" s="84"/>
      <c r="I261" s="84"/>
      <c r="J261" s="84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  <c r="BS261" s="31"/>
      <c r="BT261" s="31"/>
      <c r="BU261" s="31"/>
      <c r="BV261" s="31"/>
      <c r="BW261" s="31"/>
      <c r="BX261" s="31"/>
      <c r="BY261" s="31"/>
      <c r="BZ261" s="31"/>
      <c r="CA261" s="31"/>
      <c r="CB261" s="31"/>
      <c r="CC261" s="31"/>
      <c r="CD261" s="31"/>
      <c r="CE261" s="31"/>
      <c r="CF261" s="31"/>
      <c r="CG261" s="31"/>
      <c r="CH261" s="31"/>
      <c r="CI261" s="31"/>
      <c r="CJ261" s="31"/>
      <c r="CK261" s="31"/>
      <c r="CL261" s="31"/>
      <c r="CM261" s="31"/>
      <c r="CN261" s="31"/>
      <c r="CO261" s="31"/>
      <c r="CP261" s="31"/>
      <c r="CQ261" s="31"/>
      <c r="CR261" s="31"/>
      <c r="CS261" s="31"/>
      <c r="CT261" s="31"/>
      <c r="CU261" s="31"/>
      <c r="CV261" s="31"/>
      <c r="CW261" s="31"/>
    </row>
    <row r="262" spans="1:101" x14ac:dyDescent="0.25">
      <c r="A262" s="83"/>
      <c r="B262" s="84"/>
      <c r="C262" s="84"/>
      <c r="D262" s="85"/>
      <c r="E262" s="84"/>
      <c r="F262" s="84"/>
      <c r="G262" s="84"/>
      <c r="H262" s="84"/>
      <c r="I262" s="84"/>
      <c r="J262" s="84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  <c r="BS262" s="31"/>
      <c r="BT262" s="31"/>
      <c r="BU262" s="31"/>
      <c r="BV262" s="31"/>
      <c r="BW262" s="31"/>
      <c r="BX262" s="31"/>
      <c r="BY262" s="31"/>
      <c r="BZ262" s="31"/>
      <c r="CA262" s="31"/>
      <c r="CB262" s="31"/>
      <c r="CC262" s="31"/>
      <c r="CD262" s="31"/>
      <c r="CE262" s="31"/>
      <c r="CF262" s="31"/>
      <c r="CG262" s="31"/>
      <c r="CH262" s="31"/>
      <c r="CI262" s="31"/>
      <c r="CJ262" s="31"/>
      <c r="CK262" s="31"/>
      <c r="CL262" s="31"/>
      <c r="CM262" s="31"/>
      <c r="CN262" s="31"/>
      <c r="CO262" s="31"/>
      <c r="CP262" s="31"/>
      <c r="CQ262" s="31"/>
      <c r="CR262" s="31"/>
      <c r="CS262" s="31"/>
      <c r="CT262" s="31"/>
      <c r="CU262" s="31"/>
      <c r="CV262" s="31"/>
      <c r="CW262" s="31"/>
    </row>
    <row r="263" spans="1:101" x14ac:dyDescent="0.25">
      <c r="A263" s="83"/>
      <c r="B263" s="84"/>
      <c r="C263" s="84"/>
      <c r="D263" s="85"/>
      <c r="E263" s="84"/>
      <c r="F263" s="84"/>
      <c r="G263" s="84"/>
      <c r="H263" s="84"/>
      <c r="I263" s="84"/>
      <c r="J263" s="84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  <c r="BS263" s="31"/>
      <c r="BT263" s="31"/>
      <c r="BU263" s="31"/>
      <c r="BV263" s="31"/>
      <c r="BW263" s="31"/>
      <c r="BX263" s="31"/>
      <c r="BY263" s="31"/>
      <c r="BZ263" s="31"/>
      <c r="CA263" s="31"/>
      <c r="CB263" s="31"/>
      <c r="CC263" s="31"/>
      <c r="CD263" s="31"/>
      <c r="CE263" s="31"/>
      <c r="CF263" s="31"/>
      <c r="CG263" s="31"/>
      <c r="CH263" s="31"/>
      <c r="CI263" s="31"/>
      <c r="CJ263" s="31"/>
      <c r="CK263" s="31"/>
      <c r="CL263" s="31"/>
      <c r="CM263" s="31"/>
      <c r="CN263" s="31"/>
      <c r="CO263" s="31"/>
      <c r="CP263" s="31"/>
      <c r="CQ263" s="31"/>
      <c r="CR263" s="31"/>
      <c r="CS263" s="31"/>
      <c r="CT263" s="31"/>
      <c r="CU263" s="31"/>
      <c r="CV263" s="31"/>
      <c r="CW263" s="31"/>
    </row>
    <row r="264" spans="1:101" x14ac:dyDescent="0.25">
      <c r="A264" s="83"/>
      <c r="B264" s="84"/>
      <c r="C264" s="84"/>
      <c r="D264" s="85"/>
      <c r="E264" s="84"/>
      <c r="F264" s="84"/>
      <c r="G264" s="84"/>
      <c r="H264" s="84"/>
      <c r="I264" s="84"/>
      <c r="J264" s="84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  <c r="BS264" s="31"/>
      <c r="BT264" s="31"/>
      <c r="BU264" s="31"/>
      <c r="BV264" s="31"/>
      <c r="BW264" s="31"/>
      <c r="BX264" s="31"/>
      <c r="BY264" s="31"/>
      <c r="BZ264" s="31"/>
      <c r="CA264" s="31"/>
      <c r="CB264" s="31"/>
      <c r="CC264" s="31"/>
      <c r="CD264" s="31"/>
      <c r="CE264" s="31"/>
      <c r="CF264" s="31"/>
      <c r="CG264" s="31"/>
      <c r="CH264" s="31"/>
      <c r="CI264" s="31"/>
      <c r="CJ264" s="31"/>
      <c r="CK264" s="31"/>
      <c r="CL264" s="31"/>
      <c r="CM264" s="31"/>
      <c r="CN264" s="31"/>
      <c r="CO264" s="31"/>
      <c r="CP264" s="31"/>
      <c r="CQ264" s="31"/>
      <c r="CR264" s="31"/>
      <c r="CS264" s="31"/>
      <c r="CT264" s="31"/>
      <c r="CU264" s="31"/>
      <c r="CV264" s="31"/>
      <c r="CW264" s="31"/>
    </row>
    <row r="265" spans="1:101" x14ac:dyDescent="0.25">
      <c r="A265" s="83"/>
      <c r="B265" s="84"/>
      <c r="C265" s="84"/>
      <c r="D265" s="85"/>
      <c r="E265" s="84"/>
      <c r="F265" s="84"/>
      <c r="G265" s="84"/>
      <c r="H265" s="84"/>
      <c r="I265" s="84"/>
      <c r="J265" s="84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  <c r="BS265" s="31"/>
      <c r="BT265" s="31"/>
      <c r="BU265" s="31"/>
      <c r="BV265" s="31"/>
      <c r="BW265" s="31"/>
      <c r="BX265" s="31"/>
      <c r="BY265" s="31"/>
      <c r="BZ265" s="31"/>
      <c r="CA265" s="31"/>
      <c r="CB265" s="31"/>
      <c r="CC265" s="31"/>
      <c r="CD265" s="31"/>
      <c r="CE265" s="31"/>
      <c r="CF265" s="31"/>
      <c r="CG265" s="31"/>
      <c r="CH265" s="31"/>
      <c r="CI265" s="31"/>
      <c r="CJ265" s="31"/>
      <c r="CK265" s="31"/>
      <c r="CL265" s="31"/>
      <c r="CM265" s="31"/>
      <c r="CN265" s="31"/>
      <c r="CO265" s="31"/>
      <c r="CP265" s="31"/>
      <c r="CQ265" s="31"/>
      <c r="CR265" s="31"/>
      <c r="CS265" s="31"/>
      <c r="CT265" s="31"/>
      <c r="CU265" s="31"/>
      <c r="CV265" s="31"/>
      <c r="CW265" s="31"/>
    </row>
    <row r="266" spans="1:101" x14ac:dyDescent="0.25">
      <c r="A266" s="83"/>
      <c r="B266" s="84"/>
      <c r="C266" s="84"/>
      <c r="D266" s="85"/>
      <c r="E266" s="84"/>
      <c r="F266" s="84"/>
      <c r="G266" s="84"/>
      <c r="H266" s="84"/>
      <c r="I266" s="84"/>
      <c r="J266" s="84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  <c r="BS266" s="31"/>
      <c r="BT266" s="31"/>
      <c r="BU266" s="31"/>
      <c r="BV266" s="31"/>
      <c r="BW266" s="31"/>
      <c r="BX266" s="31"/>
      <c r="BY266" s="31"/>
      <c r="BZ266" s="31"/>
      <c r="CA266" s="31"/>
      <c r="CB266" s="31"/>
      <c r="CC266" s="31"/>
      <c r="CD266" s="31"/>
      <c r="CE266" s="31"/>
      <c r="CF266" s="31"/>
      <c r="CG266" s="31"/>
      <c r="CH266" s="31"/>
      <c r="CI266" s="31"/>
      <c r="CJ266" s="31"/>
      <c r="CK266" s="31"/>
      <c r="CL266" s="31"/>
      <c r="CM266" s="31"/>
      <c r="CN266" s="31"/>
      <c r="CO266" s="31"/>
      <c r="CP266" s="31"/>
      <c r="CQ266" s="31"/>
      <c r="CR266" s="31"/>
      <c r="CS266" s="31"/>
      <c r="CT266" s="31"/>
      <c r="CU266" s="31"/>
      <c r="CV266" s="31"/>
      <c r="CW266" s="31"/>
    </row>
    <row r="267" spans="1:101" x14ac:dyDescent="0.25">
      <c r="A267" s="83"/>
      <c r="B267" s="84"/>
      <c r="C267" s="84"/>
      <c r="D267" s="85"/>
      <c r="E267" s="84"/>
      <c r="F267" s="84"/>
      <c r="G267" s="84"/>
      <c r="H267" s="84"/>
      <c r="I267" s="84"/>
      <c r="J267" s="84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  <c r="BS267" s="31"/>
      <c r="BT267" s="31"/>
      <c r="BU267" s="31"/>
      <c r="BV267" s="31"/>
      <c r="BW267" s="31"/>
      <c r="BX267" s="31"/>
      <c r="BY267" s="31"/>
      <c r="BZ267" s="31"/>
      <c r="CA267" s="31"/>
      <c r="CB267" s="31"/>
      <c r="CC267" s="31"/>
      <c r="CD267" s="31"/>
      <c r="CE267" s="31"/>
      <c r="CF267" s="31"/>
      <c r="CG267" s="31"/>
      <c r="CH267" s="31"/>
      <c r="CI267" s="31"/>
      <c r="CJ267" s="31"/>
      <c r="CK267" s="31"/>
      <c r="CL267" s="31"/>
      <c r="CM267" s="31"/>
      <c r="CN267" s="31"/>
      <c r="CO267" s="31"/>
      <c r="CP267" s="31"/>
      <c r="CQ267" s="31"/>
      <c r="CR267" s="31"/>
      <c r="CS267" s="31"/>
      <c r="CT267" s="31"/>
      <c r="CU267" s="31"/>
      <c r="CV267" s="31"/>
      <c r="CW267" s="31"/>
    </row>
    <row r="268" spans="1:101" x14ac:dyDescent="0.25">
      <c r="A268" s="83"/>
      <c r="B268" s="84"/>
      <c r="C268" s="84"/>
      <c r="D268" s="85"/>
      <c r="E268" s="84"/>
      <c r="F268" s="84"/>
      <c r="G268" s="84"/>
      <c r="H268" s="84"/>
      <c r="I268" s="84"/>
      <c r="J268" s="84"/>
    </row>
    <row r="269" spans="1:101" x14ac:dyDescent="0.25">
      <c r="A269" s="83"/>
      <c r="B269" s="84"/>
      <c r="C269" s="84"/>
      <c r="D269" s="85"/>
      <c r="E269" s="84"/>
      <c r="F269" s="84"/>
      <c r="G269" s="84"/>
      <c r="H269" s="84"/>
      <c r="I269" s="84"/>
      <c r="J269" s="84"/>
    </row>
    <row r="270" spans="1:101" x14ac:dyDescent="0.25">
      <c r="A270" s="83"/>
      <c r="B270" s="84"/>
      <c r="C270" s="84"/>
      <c r="D270" s="85"/>
      <c r="E270" s="84"/>
      <c r="F270" s="84"/>
      <c r="G270" s="84"/>
      <c r="H270" s="84"/>
      <c r="I270" s="84"/>
      <c r="J270" s="84"/>
    </row>
    <row r="271" spans="1:101" x14ac:dyDescent="0.25">
      <c r="A271" s="83"/>
      <c r="B271" s="84"/>
      <c r="C271" s="84"/>
      <c r="D271" s="85"/>
      <c r="E271" s="84"/>
      <c r="F271" s="84"/>
      <c r="G271" s="84"/>
      <c r="H271" s="84"/>
      <c r="I271" s="84"/>
      <c r="J271" s="84"/>
    </row>
    <row r="272" spans="1:101" x14ac:dyDescent="0.25">
      <c r="A272" s="56"/>
      <c r="D272" s="14"/>
    </row>
    <row r="273" spans="1:4" x14ac:dyDescent="0.25">
      <c r="A273" s="56"/>
      <c r="D273" s="14"/>
    </row>
    <row r="274" spans="1:4" x14ac:dyDescent="0.25">
      <c r="A274" s="56"/>
      <c r="D274" s="14"/>
    </row>
    <row r="275" spans="1:4" x14ac:dyDescent="0.25">
      <c r="A275" s="56"/>
      <c r="D275" s="14"/>
    </row>
    <row r="276" spans="1:4" x14ac:dyDescent="0.25">
      <c r="A276" s="56"/>
      <c r="D276" s="14"/>
    </row>
    <row r="277" spans="1:4" x14ac:dyDescent="0.25">
      <c r="A277" s="56"/>
      <c r="D277" s="14"/>
    </row>
    <row r="278" spans="1:4" x14ac:dyDescent="0.25">
      <c r="A278" s="56"/>
      <c r="D278" s="14"/>
    </row>
    <row r="279" spans="1:4" x14ac:dyDescent="0.25">
      <c r="A279" s="56"/>
      <c r="D279" s="14"/>
    </row>
    <row r="280" spans="1:4" x14ac:dyDescent="0.25">
      <c r="A280" s="56"/>
      <c r="D280" s="14"/>
    </row>
    <row r="281" spans="1:4" x14ac:dyDescent="0.25">
      <c r="A281" s="56"/>
      <c r="D281" s="14"/>
    </row>
    <row r="282" spans="1:4" x14ac:dyDescent="0.25">
      <c r="A282" s="56"/>
      <c r="D282" s="14"/>
    </row>
    <row r="283" spans="1:4" x14ac:dyDescent="0.25">
      <c r="A283" s="56"/>
      <c r="D283" s="14"/>
    </row>
    <row r="284" spans="1:4" x14ac:dyDescent="0.25">
      <c r="D284" s="14"/>
    </row>
    <row r="285" spans="1:4" x14ac:dyDescent="0.25">
      <c r="D285" s="14"/>
    </row>
    <row r="286" spans="1:4" x14ac:dyDescent="0.25">
      <c r="D286" s="14"/>
    </row>
    <row r="287" spans="1:4" x14ac:dyDescent="0.25">
      <c r="D287" s="14"/>
    </row>
    <row r="288" spans="1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</sheetData>
  <autoFilter ref="A7:K70"/>
  <sortState ref="A8:K85">
    <sortCondition ref="H8"/>
  </sortState>
  <mergeCells count="4">
    <mergeCell ref="A1:K1"/>
    <mergeCell ref="A2:K2"/>
    <mergeCell ref="A3:K3"/>
    <mergeCell ref="A4:K4"/>
  </mergeCells>
  <conditionalFormatting sqref="A189:K1048576">
    <cfRule type="expression" dxfId="3" priority="2">
      <formula>$A189&lt;&gt;""</formula>
    </cfRule>
  </conditionalFormatting>
  <conditionalFormatting sqref="A8:K189">
    <cfRule type="expression" dxfId="2" priority="1">
      <formula>MOD(ROW(),2)</formula>
    </cfRule>
  </conditionalFormatting>
  <pageMargins left="0.7" right="0.7" top="0.75" bottom="0.75" header="0.3" footer="0.3"/>
  <pageSetup paperSize="9" scale="16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V145"/>
  <sheetViews>
    <sheetView showGridLines="0" showRowColHeaders="0" tabSelected="1" topLeftCell="B1" zoomScaleNormal="100" workbookViewId="0">
      <selection activeCell="V145" sqref="V145"/>
    </sheetView>
  </sheetViews>
  <sheetFormatPr defaultRowHeight="15" x14ac:dyDescent="0.25"/>
  <sheetData>
    <row r="3" spans="3:12" x14ac:dyDescent="0.25"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3:12" x14ac:dyDescent="0.25">
      <c r="C4" s="31"/>
      <c r="D4" s="31"/>
      <c r="E4" s="31"/>
      <c r="F4" s="31"/>
      <c r="G4" s="31"/>
      <c r="H4" s="31"/>
      <c r="I4" s="31"/>
      <c r="J4" s="31"/>
      <c r="K4" s="31"/>
      <c r="L4" s="31"/>
    </row>
    <row r="5" spans="3:12" x14ac:dyDescent="0.25">
      <c r="C5" s="31"/>
      <c r="D5" s="31"/>
      <c r="E5" s="31"/>
      <c r="F5" s="31"/>
      <c r="G5" s="31"/>
      <c r="H5" s="31"/>
      <c r="I5" s="31"/>
      <c r="J5" s="31"/>
      <c r="K5" s="31"/>
      <c r="L5" s="31"/>
    </row>
    <row r="6" spans="3:12" x14ac:dyDescent="0.25">
      <c r="C6" s="31"/>
      <c r="D6" s="31"/>
      <c r="E6" s="31"/>
      <c r="F6" s="31"/>
      <c r="G6" s="31"/>
      <c r="H6" s="31"/>
      <c r="I6" s="31"/>
      <c r="J6" s="31"/>
      <c r="K6" s="31"/>
      <c r="L6" s="31"/>
    </row>
    <row r="7" spans="3:12" x14ac:dyDescent="0.25">
      <c r="C7" s="31"/>
      <c r="D7" s="31"/>
      <c r="E7" s="31"/>
      <c r="F7" s="31"/>
      <c r="G7" s="31"/>
      <c r="H7" s="31"/>
      <c r="I7" s="31"/>
      <c r="J7" s="31"/>
      <c r="K7" s="31"/>
      <c r="L7" s="31"/>
    </row>
    <row r="8" spans="3:12" x14ac:dyDescent="0.25">
      <c r="C8" s="31"/>
      <c r="D8" s="31"/>
      <c r="E8" s="31"/>
      <c r="F8" s="31"/>
      <c r="G8" s="31"/>
      <c r="H8" s="31"/>
      <c r="I8" s="31"/>
      <c r="J8" s="31"/>
      <c r="K8" s="31"/>
      <c r="L8" s="31"/>
    </row>
    <row r="9" spans="3:12" x14ac:dyDescent="0.25">
      <c r="C9" s="31"/>
      <c r="D9" s="31"/>
      <c r="E9" s="31"/>
      <c r="F9" s="31"/>
      <c r="G9" s="31"/>
      <c r="H9" s="31"/>
      <c r="I9" s="31"/>
      <c r="J9" s="31"/>
      <c r="K9" s="31"/>
      <c r="L9" s="31"/>
    </row>
    <row r="10" spans="3:12" x14ac:dyDescent="0.25">
      <c r="C10" s="31"/>
      <c r="D10" s="31"/>
      <c r="E10" s="31"/>
      <c r="F10" s="31"/>
      <c r="G10" s="31"/>
      <c r="H10" s="31"/>
      <c r="I10" s="31"/>
      <c r="J10" s="31"/>
      <c r="K10" s="31"/>
      <c r="L10" s="31"/>
    </row>
    <row r="11" spans="3:12" x14ac:dyDescent="0.25">
      <c r="C11" s="31"/>
      <c r="D11" s="31"/>
      <c r="E11" s="31"/>
      <c r="F11" s="31"/>
      <c r="G11" s="31"/>
      <c r="H11" s="31"/>
      <c r="I11" s="31"/>
      <c r="J11" s="31"/>
      <c r="K11" s="31"/>
      <c r="L11" s="31"/>
    </row>
    <row r="12" spans="3:12" x14ac:dyDescent="0.25">
      <c r="C12" s="31"/>
      <c r="D12" s="31"/>
      <c r="E12" s="31"/>
      <c r="F12" s="31"/>
      <c r="G12" s="31"/>
      <c r="H12" s="31"/>
      <c r="I12" s="31"/>
      <c r="J12" s="31"/>
      <c r="K12" s="31"/>
      <c r="L12" s="31"/>
    </row>
    <row r="13" spans="3:12" x14ac:dyDescent="0.25">
      <c r="C13" s="31"/>
      <c r="D13" s="31"/>
      <c r="E13" s="31"/>
      <c r="F13" s="31"/>
      <c r="G13" s="31"/>
      <c r="H13" s="31"/>
      <c r="I13" s="31"/>
      <c r="J13" s="31"/>
      <c r="K13" s="31"/>
      <c r="L13" s="31"/>
    </row>
    <row r="14" spans="3:12" x14ac:dyDescent="0.25">
      <c r="C14" s="31"/>
      <c r="D14" s="31"/>
      <c r="E14" s="31"/>
      <c r="F14" s="31"/>
      <c r="G14" s="31"/>
      <c r="H14" s="31"/>
      <c r="I14" s="31"/>
      <c r="J14" s="31"/>
      <c r="K14" s="31"/>
      <c r="L14" s="31"/>
    </row>
    <row r="15" spans="3:12" x14ac:dyDescent="0.25">
      <c r="C15" s="31"/>
      <c r="D15" s="31"/>
      <c r="E15" s="31"/>
      <c r="F15" s="31"/>
      <c r="G15" s="31"/>
      <c r="H15" s="31"/>
      <c r="I15" s="31"/>
      <c r="J15" s="31"/>
      <c r="K15" s="31"/>
      <c r="L15" s="31"/>
    </row>
    <row r="16" spans="3:12" x14ac:dyDescent="0.25">
      <c r="C16" s="31"/>
      <c r="D16" s="31"/>
      <c r="E16" s="31"/>
      <c r="F16" s="31"/>
      <c r="G16" s="31"/>
      <c r="H16" s="31"/>
      <c r="I16" s="31"/>
      <c r="J16" s="31"/>
      <c r="K16" s="31"/>
      <c r="L16" s="31"/>
    </row>
    <row r="17" spans="3:12" x14ac:dyDescent="0.25">
      <c r="C17" s="31"/>
      <c r="D17" s="31"/>
      <c r="E17" s="31"/>
      <c r="F17" s="31"/>
      <c r="G17" s="31"/>
      <c r="H17" s="31"/>
      <c r="I17" s="31"/>
      <c r="J17" s="31"/>
      <c r="K17" s="31"/>
      <c r="L17" s="31"/>
    </row>
    <row r="18" spans="3:12" x14ac:dyDescent="0.25">
      <c r="C18" s="31"/>
      <c r="D18" s="31"/>
      <c r="E18" s="31"/>
      <c r="F18" s="31"/>
      <c r="G18" s="31"/>
      <c r="H18" s="31"/>
      <c r="I18" s="31"/>
      <c r="J18" s="31"/>
      <c r="K18" s="31"/>
      <c r="L18" s="31"/>
    </row>
    <row r="145" spans="22:22" x14ac:dyDescent="0.25">
      <c r="V145" t="s">
        <v>359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60"/>
  <sheetViews>
    <sheetView topLeftCell="A29" workbookViewId="0">
      <selection activeCell="B10" sqref="B10:B48"/>
    </sheetView>
  </sheetViews>
  <sheetFormatPr defaultRowHeight="15" x14ac:dyDescent="0.25"/>
  <cols>
    <col min="1" max="1" width="5.140625" customWidth="1"/>
    <col min="2" max="2" width="12.42578125" style="56" customWidth="1"/>
    <col min="3" max="3" width="32.42578125" customWidth="1"/>
    <col min="4" max="4" width="4.5703125" customWidth="1"/>
    <col min="5" max="35" width="3.28515625" customWidth="1"/>
    <col min="258" max="258" width="4.7109375" customWidth="1"/>
    <col min="259" max="259" width="10.42578125" bestFit="1" customWidth="1"/>
    <col min="260" max="260" width="32.42578125" customWidth="1"/>
    <col min="261" max="261" width="4.5703125" customWidth="1"/>
    <col min="262" max="291" width="3.28515625" customWidth="1"/>
    <col min="514" max="514" width="4.7109375" customWidth="1"/>
    <col min="515" max="515" width="10.42578125" bestFit="1" customWidth="1"/>
    <col min="516" max="516" width="32.42578125" customWidth="1"/>
    <col min="517" max="517" width="4.5703125" customWidth="1"/>
    <col min="518" max="547" width="3.28515625" customWidth="1"/>
    <col min="770" max="770" width="4.7109375" customWidth="1"/>
    <col min="771" max="771" width="10.42578125" bestFit="1" customWidth="1"/>
    <col min="772" max="772" width="32.42578125" customWidth="1"/>
    <col min="773" max="773" width="4.5703125" customWidth="1"/>
    <col min="774" max="803" width="3.28515625" customWidth="1"/>
    <col min="1026" max="1026" width="4.7109375" customWidth="1"/>
    <col min="1027" max="1027" width="10.42578125" bestFit="1" customWidth="1"/>
    <col min="1028" max="1028" width="32.42578125" customWidth="1"/>
    <col min="1029" max="1029" width="4.5703125" customWidth="1"/>
    <col min="1030" max="1059" width="3.28515625" customWidth="1"/>
    <col min="1282" max="1282" width="4.7109375" customWidth="1"/>
    <col min="1283" max="1283" width="10.42578125" bestFit="1" customWidth="1"/>
    <col min="1284" max="1284" width="32.42578125" customWidth="1"/>
    <col min="1285" max="1285" width="4.5703125" customWidth="1"/>
    <col min="1286" max="1315" width="3.28515625" customWidth="1"/>
    <col min="1538" max="1538" width="4.7109375" customWidth="1"/>
    <col min="1539" max="1539" width="10.42578125" bestFit="1" customWidth="1"/>
    <col min="1540" max="1540" width="32.42578125" customWidth="1"/>
    <col min="1541" max="1541" width="4.5703125" customWidth="1"/>
    <col min="1542" max="1571" width="3.28515625" customWidth="1"/>
    <col min="1794" max="1794" width="4.7109375" customWidth="1"/>
    <col min="1795" max="1795" width="10.42578125" bestFit="1" customWidth="1"/>
    <col min="1796" max="1796" width="32.42578125" customWidth="1"/>
    <col min="1797" max="1797" width="4.5703125" customWidth="1"/>
    <col min="1798" max="1827" width="3.28515625" customWidth="1"/>
    <col min="2050" max="2050" width="4.7109375" customWidth="1"/>
    <col min="2051" max="2051" width="10.42578125" bestFit="1" customWidth="1"/>
    <col min="2052" max="2052" width="32.42578125" customWidth="1"/>
    <col min="2053" max="2053" width="4.5703125" customWidth="1"/>
    <col min="2054" max="2083" width="3.28515625" customWidth="1"/>
    <col min="2306" max="2306" width="4.7109375" customWidth="1"/>
    <col min="2307" max="2307" width="10.42578125" bestFit="1" customWidth="1"/>
    <col min="2308" max="2308" width="32.42578125" customWidth="1"/>
    <col min="2309" max="2309" width="4.5703125" customWidth="1"/>
    <col min="2310" max="2339" width="3.28515625" customWidth="1"/>
    <col min="2562" max="2562" width="4.7109375" customWidth="1"/>
    <col min="2563" max="2563" width="10.42578125" bestFit="1" customWidth="1"/>
    <col min="2564" max="2564" width="32.42578125" customWidth="1"/>
    <col min="2565" max="2565" width="4.5703125" customWidth="1"/>
    <col min="2566" max="2595" width="3.28515625" customWidth="1"/>
    <col min="2818" max="2818" width="4.7109375" customWidth="1"/>
    <col min="2819" max="2819" width="10.42578125" bestFit="1" customWidth="1"/>
    <col min="2820" max="2820" width="32.42578125" customWidth="1"/>
    <col min="2821" max="2821" width="4.5703125" customWidth="1"/>
    <col min="2822" max="2851" width="3.28515625" customWidth="1"/>
    <col min="3074" max="3074" width="4.7109375" customWidth="1"/>
    <col min="3075" max="3075" width="10.42578125" bestFit="1" customWidth="1"/>
    <col min="3076" max="3076" width="32.42578125" customWidth="1"/>
    <col min="3077" max="3077" width="4.5703125" customWidth="1"/>
    <col min="3078" max="3107" width="3.28515625" customWidth="1"/>
    <col min="3330" max="3330" width="4.7109375" customWidth="1"/>
    <col min="3331" max="3331" width="10.42578125" bestFit="1" customWidth="1"/>
    <col min="3332" max="3332" width="32.42578125" customWidth="1"/>
    <col min="3333" max="3333" width="4.5703125" customWidth="1"/>
    <col min="3334" max="3363" width="3.28515625" customWidth="1"/>
    <col min="3586" max="3586" width="4.7109375" customWidth="1"/>
    <col min="3587" max="3587" width="10.42578125" bestFit="1" customWidth="1"/>
    <col min="3588" max="3588" width="32.42578125" customWidth="1"/>
    <col min="3589" max="3589" width="4.5703125" customWidth="1"/>
    <col min="3590" max="3619" width="3.28515625" customWidth="1"/>
    <col min="3842" max="3842" width="4.7109375" customWidth="1"/>
    <col min="3843" max="3843" width="10.42578125" bestFit="1" customWidth="1"/>
    <col min="3844" max="3844" width="32.42578125" customWidth="1"/>
    <col min="3845" max="3845" width="4.5703125" customWidth="1"/>
    <col min="3846" max="3875" width="3.28515625" customWidth="1"/>
    <col min="4098" max="4098" width="4.7109375" customWidth="1"/>
    <col min="4099" max="4099" width="10.42578125" bestFit="1" customWidth="1"/>
    <col min="4100" max="4100" width="32.42578125" customWidth="1"/>
    <col min="4101" max="4101" width="4.5703125" customWidth="1"/>
    <col min="4102" max="4131" width="3.28515625" customWidth="1"/>
    <col min="4354" max="4354" width="4.7109375" customWidth="1"/>
    <col min="4355" max="4355" width="10.42578125" bestFit="1" customWidth="1"/>
    <col min="4356" max="4356" width="32.42578125" customWidth="1"/>
    <col min="4357" max="4357" width="4.5703125" customWidth="1"/>
    <col min="4358" max="4387" width="3.28515625" customWidth="1"/>
    <col min="4610" max="4610" width="4.7109375" customWidth="1"/>
    <col min="4611" max="4611" width="10.42578125" bestFit="1" customWidth="1"/>
    <col min="4612" max="4612" width="32.42578125" customWidth="1"/>
    <col min="4613" max="4613" width="4.5703125" customWidth="1"/>
    <col min="4614" max="4643" width="3.28515625" customWidth="1"/>
    <col min="4866" max="4866" width="4.7109375" customWidth="1"/>
    <col min="4867" max="4867" width="10.42578125" bestFit="1" customWidth="1"/>
    <col min="4868" max="4868" width="32.42578125" customWidth="1"/>
    <col min="4869" max="4869" width="4.5703125" customWidth="1"/>
    <col min="4870" max="4899" width="3.28515625" customWidth="1"/>
    <col min="5122" max="5122" width="4.7109375" customWidth="1"/>
    <col min="5123" max="5123" width="10.42578125" bestFit="1" customWidth="1"/>
    <col min="5124" max="5124" width="32.42578125" customWidth="1"/>
    <col min="5125" max="5125" width="4.5703125" customWidth="1"/>
    <col min="5126" max="5155" width="3.28515625" customWidth="1"/>
    <col min="5378" max="5378" width="4.7109375" customWidth="1"/>
    <col min="5379" max="5379" width="10.42578125" bestFit="1" customWidth="1"/>
    <col min="5380" max="5380" width="32.42578125" customWidth="1"/>
    <col min="5381" max="5381" width="4.5703125" customWidth="1"/>
    <col min="5382" max="5411" width="3.28515625" customWidth="1"/>
    <col min="5634" max="5634" width="4.7109375" customWidth="1"/>
    <col min="5635" max="5635" width="10.42578125" bestFit="1" customWidth="1"/>
    <col min="5636" max="5636" width="32.42578125" customWidth="1"/>
    <col min="5637" max="5637" width="4.5703125" customWidth="1"/>
    <col min="5638" max="5667" width="3.28515625" customWidth="1"/>
    <col min="5890" max="5890" width="4.7109375" customWidth="1"/>
    <col min="5891" max="5891" width="10.42578125" bestFit="1" customWidth="1"/>
    <col min="5892" max="5892" width="32.42578125" customWidth="1"/>
    <col min="5893" max="5893" width="4.5703125" customWidth="1"/>
    <col min="5894" max="5923" width="3.28515625" customWidth="1"/>
    <col min="6146" max="6146" width="4.7109375" customWidth="1"/>
    <col min="6147" max="6147" width="10.42578125" bestFit="1" customWidth="1"/>
    <col min="6148" max="6148" width="32.42578125" customWidth="1"/>
    <col min="6149" max="6149" width="4.5703125" customWidth="1"/>
    <col min="6150" max="6179" width="3.28515625" customWidth="1"/>
    <col min="6402" max="6402" width="4.7109375" customWidth="1"/>
    <col min="6403" max="6403" width="10.42578125" bestFit="1" customWidth="1"/>
    <col min="6404" max="6404" width="32.42578125" customWidth="1"/>
    <col min="6405" max="6405" width="4.5703125" customWidth="1"/>
    <col min="6406" max="6435" width="3.28515625" customWidth="1"/>
    <col min="6658" max="6658" width="4.7109375" customWidth="1"/>
    <col min="6659" max="6659" width="10.42578125" bestFit="1" customWidth="1"/>
    <col min="6660" max="6660" width="32.42578125" customWidth="1"/>
    <col min="6661" max="6661" width="4.5703125" customWidth="1"/>
    <col min="6662" max="6691" width="3.28515625" customWidth="1"/>
    <col min="6914" max="6914" width="4.7109375" customWidth="1"/>
    <col min="6915" max="6915" width="10.42578125" bestFit="1" customWidth="1"/>
    <col min="6916" max="6916" width="32.42578125" customWidth="1"/>
    <col min="6917" max="6917" width="4.5703125" customWidth="1"/>
    <col min="6918" max="6947" width="3.28515625" customWidth="1"/>
    <col min="7170" max="7170" width="4.7109375" customWidth="1"/>
    <col min="7171" max="7171" width="10.42578125" bestFit="1" customWidth="1"/>
    <col min="7172" max="7172" width="32.42578125" customWidth="1"/>
    <col min="7173" max="7173" width="4.5703125" customWidth="1"/>
    <col min="7174" max="7203" width="3.28515625" customWidth="1"/>
    <col min="7426" max="7426" width="4.7109375" customWidth="1"/>
    <col min="7427" max="7427" width="10.42578125" bestFit="1" customWidth="1"/>
    <col min="7428" max="7428" width="32.42578125" customWidth="1"/>
    <col min="7429" max="7429" width="4.5703125" customWidth="1"/>
    <col min="7430" max="7459" width="3.28515625" customWidth="1"/>
    <col min="7682" max="7682" width="4.7109375" customWidth="1"/>
    <col min="7683" max="7683" width="10.42578125" bestFit="1" customWidth="1"/>
    <col min="7684" max="7684" width="32.42578125" customWidth="1"/>
    <col min="7685" max="7685" width="4.5703125" customWidth="1"/>
    <col min="7686" max="7715" width="3.28515625" customWidth="1"/>
    <col min="7938" max="7938" width="4.7109375" customWidth="1"/>
    <col min="7939" max="7939" width="10.42578125" bestFit="1" customWidth="1"/>
    <col min="7940" max="7940" width="32.42578125" customWidth="1"/>
    <col min="7941" max="7941" width="4.5703125" customWidth="1"/>
    <col min="7942" max="7971" width="3.28515625" customWidth="1"/>
    <col min="8194" max="8194" width="4.7109375" customWidth="1"/>
    <col min="8195" max="8195" width="10.42578125" bestFit="1" customWidth="1"/>
    <col min="8196" max="8196" width="32.42578125" customWidth="1"/>
    <col min="8197" max="8197" width="4.5703125" customWidth="1"/>
    <col min="8198" max="8227" width="3.28515625" customWidth="1"/>
    <col min="8450" max="8450" width="4.7109375" customWidth="1"/>
    <col min="8451" max="8451" width="10.42578125" bestFit="1" customWidth="1"/>
    <col min="8452" max="8452" width="32.42578125" customWidth="1"/>
    <col min="8453" max="8453" width="4.5703125" customWidth="1"/>
    <col min="8454" max="8483" width="3.28515625" customWidth="1"/>
    <col min="8706" max="8706" width="4.7109375" customWidth="1"/>
    <col min="8707" max="8707" width="10.42578125" bestFit="1" customWidth="1"/>
    <col min="8708" max="8708" width="32.42578125" customWidth="1"/>
    <col min="8709" max="8709" width="4.5703125" customWidth="1"/>
    <col min="8710" max="8739" width="3.28515625" customWidth="1"/>
    <col min="8962" max="8962" width="4.7109375" customWidth="1"/>
    <col min="8963" max="8963" width="10.42578125" bestFit="1" customWidth="1"/>
    <col min="8964" max="8964" width="32.42578125" customWidth="1"/>
    <col min="8965" max="8965" width="4.5703125" customWidth="1"/>
    <col min="8966" max="8995" width="3.28515625" customWidth="1"/>
    <col min="9218" max="9218" width="4.7109375" customWidth="1"/>
    <col min="9219" max="9219" width="10.42578125" bestFit="1" customWidth="1"/>
    <col min="9220" max="9220" width="32.42578125" customWidth="1"/>
    <col min="9221" max="9221" width="4.5703125" customWidth="1"/>
    <col min="9222" max="9251" width="3.28515625" customWidth="1"/>
    <col min="9474" max="9474" width="4.7109375" customWidth="1"/>
    <col min="9475" max="9475" width="10.42578125" bestFit="1" customWidth="1"/>
    <col min="9476" max="9476" width="32.42578125" customWidth="1"/>
    <col min="9477" max="9477" width="4.5703125" customWidth="1"/>
    <col min="9478" max="9507" width="3.28515625" customWidth="1"/>
    <col min="9730" max="9730" width="4.7109375" customWidth="1"/>
    <col min="9731" max="9731" width="10.42578125" bestFit="1" customWidth="1"/>
    <col min="9732" max="9732" width="32.42578125" customWidth="1"/>
    <col min="9733" max="9733" width="4.5703125" customWidth="1"/>
    <col min="9734" max="9763" width="3.28515625" customWidth="1"/>
    <col min="9986" max="9986" width="4.7109375" customWidth="1"/>
    <col min="9987" max="9987" width="10.42578125" bestFit="1" customWidth="1"/>
    <col min="9988" max="9988" width="32.42578125" customWidth="1"/>
    <col min="9989" max="9989" width="4.5703125" customWidth="1"/>
    <col min="9990" max="10019" width="3.28515625" customWidth="1"/>
    <col min="10242" max="10242" width="4.7109375" customWidth="1"/>
    <col min="10243" max="10243" width="10.42578125" bestFit="1" customWidth="1"/>
    <col min="10244" max="10244" width="32.42578125" customWidth="1"/>
    <col min="10245" max="10245" width="4.5703125" customWidth="1"/>
    <col min="10246" max="10275" width="3.28515625" customWidth="1"/>
    <col min="10498" max="10498" width="4.7109375" customWidth="1"/>
    <col min="10499" max="10499" width="10.42578125" bestFit="1" customWidth="1"/>
    <col min="10500" max="10500" width="32.42578125" customWidth="1"/>
    <col min="10501" max="10501" width="4.5703125" customWidth="1"/>
    <col min="10502" max="10531" width="3.28515625" customWidth="1"/>
    <col min="10754" max="10754" width="4.7109375" customWidth="1"/>
    <col min="10755" max="10755" width="10.42578125" bestFit="1" customWidth="1"/>
    <col min="10756" max="10756" width="32.42578125" customWidth="1"/>
    <col min="10757" max="10757" width="4.5703125" customWidth="1"/>
    <col min="10758" max="10787" width="3.28515625" customWidth="1"/>
    <col min="11010" max="11010" width="4.7109375" customWidth="1"/>
    <col min="11011" max="11011" width="10.42578125" bestFit="1" customWidth="1"/>
    <col min="11012" max="11012" width="32.42578125" customWidth="1"/>
    <col min="11013" max="11013" width="4.5703125" customWidth="1"/>
    <col min="11014" max="11043" width="3.28515625" customWidth="1"/>
    <col min="11266" max="11266" width="4.7109375" customWidth="1"/>
    <col min="11267" max="11267" width="10.42578125" bestFit="1" customWidth="1"/>
    <col min="11268" max="11268" width="32.42578125" customWidth="1"/>
    <col min="11269" max="11269" width="4.5703125" customWidth="1"/>
    <col min="11270" max="11299" width="3.28515625" customWidth="1"/>
    <col min="11522" max="11522" width="4.7109375" customWidth="1"/>
    <col min="11523" max="11523" width="10.42578125" bestFit="1" customWidth="1"/>
    <col min="11524" max="11524" width="32.42578125" customWidth="1"/>
    <col min="11525" max="11525" width="4.5703125" customWidth="1"/>
    <col min="11526" max="11555" width="3.28515625" customWidth="1"/>
    <col min="11778" max="11778" width="4.7109375" customWidth="1"/>
    <col min="11779" max="11779" width="10.42578125" bestFit="1" customWidth="1"/>
    <col min="11780" max="11780" width="32.42578125" customWidth="1"/>
    <col min="11781" max="11781" width="4.5703125" customWidth="1"/>
    <col min="11782" max="11811" width="3.28515625" customWidth="1"/>
    <col min="12034" max="12034" width="4.7109375" customWidth="1"/>
    <col min="12035" max="12035" width="10.42578125" bestFit="1" customWidth="1"/>
    <col min="12036" max="12036" width="32.42578125" customWidth="1"/>
    <col min="12037" max="12037" width="4.5703125" customWidth="1"/>
    <col min="12038" max="12067" width="3.28515625" customWidth="1"/>
    <col min="12290" max="12290" width="4.7109375" customWidth="1"/>
    <col min="12291" max="12291" width="10.42578125" bestFit="1" customWidth="1"/>
    <col min="12292" max="12292" width="32.42578125" customWidth="1"/>
    <col min="12293" max="12293" width="4.5703125" customWidth="1"/>
    <col min="12294" max="12323" width="3.28515625" customWidth="1"/>
    <col min="12546" max="12546" width="4.7109375" customWidth="1"/>
    <col min="12547" max="12547" width="10.42578125" bestFit="1" customWidth="1"/>
    <col min="12548" max="12548" width="32.42578125" customWidth="1"/>
    <col min="12549" max="12549" width="4.5703125" customWidth="1"/>
    <col min="12550" max="12579" width="3.28515625" customWidth="1"/>
    <col min="12802" max="12802" width="4.7109375" customWidth="1"/>
    <col min="12803" max="12803" width="10.42578125" bestFit="1" customWidth="1"/>
    <col min="12804" max="12804" width="32.42578125" customWidth="1"/>
    <col min="12805" max="12805" width="4.5703125" customWidth="1"/>
    <col min="12806" max="12835" width="3.28515625" customWidth="1"/>
    <col min="13058" max="13058" width="4.7109375" customWidth="1"/>
    <col min="13059" max="13059" width="10.42578125" bestFit="1" customWidth="1"/>
    <col min="13060" max="13060" width="32.42578125" customWidth="1"/>
    <col min="13061" max="13061" width="4.5703125" customWidth="1"/>
    <col min="13062" max="13091" width="3.28515625" customWidth="1"/>
    <col min="13314" max="13314" width="4.7109375" customWidth="1"/>
    <col min="13315" max="13315" width="10.42578125" bestFit="1" customWidth="1"/>
    <col min="13316" max="13316" width="32.42578125" customWidth="1"/>
    <col min="13317" max="13317" width="4.5703125" customWidth="1"/>
    <col min="13318" max="13347" width="3.28515625" customWidth="1"/>
    <col min="13570" max="13570" width="4.7109375" customWidth="1"/>
    <col min="13571" max="13571" width="10.42578125" bestFit="1" customWidth="1"/>
    <col min="13572" max="13572" width="32.42578125" customWidth="1"/>
    <col min="13573" max="13573" width="4.5703125" customWidth="1"/>
    <col min="13574" max="13603" width="3.28515625" customWidth="1"/>
    <col min="13826" max="13826" width="4.7109375" customWidth="1"/>
    <col min="13827" max="13827" width="10.42578125" bestFit="1" customWidth="1"/>
    <col min="13828" max="13828" width="32.42578125" customWidth="1"/>
    <col min="13829" max="13829" width="4.5703125" customWidth="1"/>
    <col min="13830" max="13859" width="3.28515625" customWidth="1"/>
    <col min="14082" max="14082" width="4.7109375" customWidth="1"/>
    <col min="14083" max="14083" width="10.42578125" bestFit="1" customWidth="1"/>
    <col min="14084" max="14084" width="32.42578125" customWidth="1"/>
    <col min="14085" max="14085" width="4.5703125" customWidth="1"/>
    <col min="14086" max="14115" width="3.28515625" customWidth="1"/>
    <col min="14338" max="14338" width="4.7109375" customWidth="1"/>
    <col min="14339" max="14339" width="10.42578125" bestFit="1" customWidth="1"/>
    <col min="14340" max="14340" width="32.42578125" customWidth="1"/>
    <col min="14341" max="14341" width="4.5703125" customWidth="1"/>
    <col min="14342" max="14371" width="3.28515625" customWidth="1"/>
    <col min="14594" max="14594" width="4.7109375" customWidth="1"/>
    <col min="14595" max="14595" width="10.42578125" bestFit="1" customWidth="1"/>
    <col min="14596" max="14596" width="32.42578125" customWidth="1"/>
    <col min="14597" max="14597" width="4.5703125" customWidth="1"/>
    <col min="14598" max="14627" width="3.28515625" customWidth="1"/>
    <col min="14850" max="14850" width="4.7109375" customWidth="1"/>
    <col min="14851" max="14851" width="10.42578125" bestFit="1" customWidth="1"/>
    <col min="14852" max="14852" width="32.42578125" customWidth="1"/>
    <col min="14853" max="14853" width="4.5703125" customWidth="1"/>
    <col min="14854" max="14883" width="3.28515625" customWidth="1"/>
    <col min="15106" max="15106" width="4.7109375" customWidth="1"/>
    <col min="15107" max="15107" width="10.42578125" bestFit="1" customWidth="1"/>
    <col min="15108" max="15108" width="32.42578125" customWidth="1"/>
    <col min="15109" max="15109" width="4.5703125" customWidth="1"/>
    <col min="15110" max="15139" width="3.28515625" customWidth="1"/>
    <col min="15362" max="15362" width="4.7109375" customWidth="1"/>
    <col min="15363" max="15363" width="10.42578125" bestFit="1" customWidth="1"/>
    <col min="15364" max="15364" width="32.42578125" customWidth="1"/>
    <col min="15365" max="15365" width="4.5703125" customWidth="1"/>
    <col min="15366" max="15395" width="3.28515625" customWidth="1"/>
    <col min="15618" max="15618" width="4.7109375" customWidth="1"/>
    <col min="15619" max="15619" width="10.42578125" bestFit="1" customWidth="1"/>
    <col min="15620" max="15620" width="32.42578125" customWidth="1"/>
    <col min="15621" max="15621" width="4.5703125" customWidth="1"/>
    <col min="15622" max="15651" width="3.28515625" customWidth="1"/>
    <col min="15874" max="15874" width="4.7109375" customWidth="1"/>
    <col min="15875" max="15875" width="10.42578125" bestFit="1" customWidth="1"/>
    <col min="15876" max="15876" width="32.42578125" customWidth="1"/>
    <col min="15877" max="15877" width="4.5703125" customWidth="1"/>
    <col min="15878" max="15907" width="3.28515625" customWidth="1"/>
    <col min="16130" max="16130" width="4.7109375" customWidth="1"/>
    <col min="16131" max="16131" width="10.42578125" bestFit="1" customWidth="1"/>
    <col min="16132" max="16132" width="32.42578125" customWidth="1"/>
    <col min="16133" max="16133" width="4.5703125" customWidth="1"/>
    <col min="16134" max="16163" width="3.28515625" customWidth="1"/>
  </cols>
  <sheetData>
    <row r="1" spans="1:35" ht="16.5" customHeight="1" x14ac:dyDescent="0.3">
      <c r="A1" s="147" t="s">
        <v>96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ht="16.5" customHeight="1" x14ac:dyDescent="0.3">
      <c r="A2" s="147" t="s">
        <v>97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</row>
    <row r="3" spans="1:35" ht="16.5" customHeight="1" x14ac:dyDescent="0.3">
      <c r="A3" s="147" t="s">
        <v>98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</row>
    <row r="4" spans="1:35" ht="15.75" customHeight="1" x14ac:dyDescent="0.3">
      <c r="A4" s="36" t="s">
        <v>119</v>
      </c>
      <c r="B4" s="37" t="e">
        <f>data_diri_siswa!#REF!</f>
        <v>#REF!</v>
      </c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1:35" ht="15.75" customHeight="1" x14ac:dyDescent="0.3">
      <c r="A5" s="36"/>
      <c r="B5" s="37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35" ht="15" customHeight="1" x14ac:dyDescent="0.25">
      <c r="A6" s="148" t="s">
        <v>99</v>
      </c>
      <c r="B6" s="149"/>
      <c r="C6" s="152" t="s">
        <v>100</v>
      </c>
      <c r="D6" s="152" t="s">
        <v>101</v>
      </c>
      <c r="E6" s="155" t="s">
        <v>102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7"/>
    </row>
    <row r="7" spans="1:35" ht="15" customHeight="1" x14ac:dyDescent="0.25">
      <c r="A7" s="150"/>
      <c r="B7" s="151"/>
      <c r="C7" s="153"/>
      <c r="D7" s="153"/>
      <c r="E7" s="158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60"/>
    </row>
    <row r="8" spans="1:35" ht="15.75" customHeight="1" x14ac:dyDescent="0.3">
      <c r="A8" s="39" t="s">
        <v>120</v>
      </c>
      <c r="B8" s="40" t="s">
        <v>104</v>
      </c>
      <c r="C8" s="154"/>
      <c r="D8" s="154"/>
      <c r="E8" s="161" t="s">
        <v>105</v>
      </c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3"/>
    </row>
    <row r="9" spans="1:35" ht="15" customHeight="1" x14ac:dyDescent="0.25">
      <c r="A9" s="41" t="s">
        <v>16</v>
      </c>
      <c r="B9" s="42" t="s">
        <v>16</v>
      </c>
      <c r="C9" s="43" t="s">
        <v>16</v>
      </c>
      <c r="D9" s="44" t="s">
        <v>16</v>
      </c>
      <c r="E9" s="45">
        <v>1</v>
      </c>
      <c r="F9" s="45">
        <v>2</v>
      </c>
      <c r="G9" s="45">
        <v>3</v>
      </c>
      <c r="H9" s="45">
        <v>4</v>
      </c>
      <c r="I9" s="45">
        <v>5</v>
      </c>
      <c r="J9" s="45">
        <v>6</v>
      </c>
      <c r="K9" s="45">
        <v>7</v>
      </c>
      <c r="L9" s="45">
        <v>8</v>
      </c>
      <c r="M9" s="45">
        <v>9</v>
      </c>
      <c r="N9" s="45">
        <v>10</v>
      </c>
      <c r="O9" s="45">
        <v>11</v>
      </c>
      <c r="P9" s="45">
        <v>12</v>
      </c>
      <c r="Q9" s="45">
        <v>13</v>
      </c>
      <c r="R9" s="45">
        <v>14</v>
      </c>
      <c r="S9" s="45">
        <v>15</v>
      </c>
      <c r="T9" s="45">
        <v>16</v>
      </c>
      <c r="U9" s="45">
        <v>17</v>
      </c>
      <c r="V9" s="45">
        <v>18</v>
      </c>
      <c r="W9" s="45">
        <v>19</v>
      </c>
      <c r="X9" s="45">
        <v>20</v>
      </c>
      <c r="Y9" s="45">
        <v>21</v>
      </c>
      <c r="Z9" s="45">
        <v>22</v>
      </c>
      <c r="AA9" s="45">
        <v>23</v>
      </c>
      <c r="AB9" s="45">
        <v>24</v>
      </c>
      <c r="AC9" s="45">
        <v>25</v>
      </c>
      <c r="AD9" s="45">
        <v>26</v>
      </c>
      <c r="AE9" s="45">
        <v>27</v>
      </c>
      <c r="AF9" s="45">
        <v>28</v>
      </c>
      <c r="AG9" s="45">
        <v>29</v>
      </c>
      <c r="AH9" s="45">
        <v>30</v>
      </c>
      <c r="AI9" s="45">
        <v>31</v>
      </c>
    </row>
    <row r="10" spans="1:35" ht="15" customHeight="1" x14ac:dyDescent="0.25">
      <c r="A10" s="41"/>
      <c r="B10" s="46" t="e">
        <f>data_diri_siswa!#REF!</f>
        <v>#REF!</v>
      </c>
      <c r="C10" s="43" t="e">
        <f>data_diri_siswa!#REF!</f>
        <v>#REF!</v>
      </c>
      <c r="D10" s="44" t="e">
        <f>data_diri_siswa!#REF!</f>
        <v>#REF!</v>
      </c>
      <c r="E10" s="45" t="s">
        <v>16</v>
      </c>
      <c r="F10" s="45" t="s">
        <v>16</v>
      </c>
      <c r="G10" s="45" t="s">
        <v>16</v>
      </c>
      <c r="H10" s="45" t="s">
        <v>16</v>
      </c>
      <c r="I10" s="45" t="s">
        <v>16</v>
      </c>
      <c r="J10" s="45" t="s">
        <v>16</v>
      </c>
      <c r="K10" s="45" t="s">
        <v>16</v>
      </c>
      <c r="L10" s="45" t="s">
        <v>16</v>
      </c>
      <c r="M10" s="45" t="s">
        <v>16</v>
      </c>
      <c r="N10" s="45" t="s">
        <v>16</v>
      </c>
      <c r="O10" s="45" t="s">
        <v>16</v>
      </c>
      <c r="P10" s="45" t="s">
        <v>16</v>
      </c>
      <c r="Q10" s="45" t="s">
        <v>16</v>
      </c>
      <c r="R10" s="45" t="s">
        <v>16</v>
      </c>
      <c r="S10" s="45" t="s">
        <v>16</v>
      </c>
      <c r="T10" s="45" t="s">
        <v>16</v>
      </c>
      <c r="U10" s="45" t="s">
        <v>16</v>
      </c>
      <c r="V10" s="45" t="s">
        <v>16</v>
      </c>
      <c r="W10" s="45" t="s">
        <v>16</v>
      </c>
      <c r="X10" s="45" t="s">
        <v>16</v>
      </c>
      <c r="Y10" s="45" t="s">
        <v>16</v>
      </c>
      <c r="Z10" s="45" t="s">
        <v>16</v>
      </c>
      <c r="AA10" s="45" t="s">
        <v>16</v>
      </c>
      <c r="AB10" s="45" t="s">
        <v>16</v>
      </c>
      <c r="AC10" s="45" t="s">
        <v>16</v>
      </c>
      <c r="AD10" s="45" t="s">
        <v>16</v>
      </c>
      <c r="AE10" s="45" t="s">
        <v>16</v>
      </c>
      <c r="AF10" s="45" t="s">
        <v>16</v>
      </c>
      <c r="AG10" s="45" t="s">
        <v>16</v>
      </c>
      <c r="AH10" s="45" t="s">
        <v>16</v>
      </c>
      <c r="AI10" s="45" t="s">
        <v>16</v>
      </c>
    </row>
    <row r="11" spans="1:35" ht="15" customHeight="1" x14ac:dyDescent="0.25">
      <c r="A11" s="41"/>
      <c r="B11" s="46" t="e">
        <f>data_diri_siswa!#REF!</f>
        <v>#REF!</v>
      </c>
      <c r="C11" s="43" t="e">
        <f>data_diri_siswa!#REF!</f>
        <v>#REF!</v>
      </c>
      <c r="D11" s="44" t="e">
        <f>data_diri_siswa!#REF!</f>
        <v>#REF!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</row>
    <row r="12" spans="1:35" ht="15" customHeight="1" x14ac:dyDescent="0.25">
      <c r="A12" s="41"/>
      <c r="B12" s="46" t="str">
        <f>data_diri_siswa!A8</f>
        <v>14501001</v>
      </c>
      <c r="C12" s="43" t="str">
        <f>data_diri_siswa!B8</f>
        <v>AGIL</v>
      </c>
      <c r="D12" s="44" t="str">
        <f>data_diri_siswa!E8</f>
        <v>L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</row>
    <row r="13" spans="1:35" ht="15" customHeight="1" x14ac:dyDescent="0.25">
      <c r="A13" s="41"/>
      <c r="B13" s="46" t="str">
        <f>data_diri_siswa!A9</f>
        <v>14501002</v>
      </c>
      <c r="C13" s="43" t="str">
        <f>data_diri_siswa!B9</f>
        <v>Ajeng Yusniarni Apriyanti</v>
      </c>
      <c r="D13" s="44" t="str">
        <f>data_diri_siswa!E9</f>
        <v>P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</row>
    <row r="14" spans="1:35" ht="15" customHeight="1" x14ac:dyDescent="0.25">
      <c r="A14" s="41"/>
      <c r="B14" s="46">
        <f>data_diri_siswa!A10</f>
        <v>14501003</v>
      </c>
      <c r="C14" s="43" t="str">
        <f>data_diri_siswa!B10</f>
        <v>ANDIKA NUGRAHA</v>
      </c>
      <c r="D14" s="44" t="str">
        <f>data_diri_siswa!E10</f>
        <v>L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</row>
    <row r="15" spans="1:35" ht="15" customHeight="1" x14ac:dyDescent="0.25">
      <c r="A15" s="41"/>
      <c r="B15" s="46">
        <f>data_diri_siswa!A11</f>
        <v>14501004</v>
      </c>
      <c r="C15" s="43" t="str">
        <f>data_diri_siswa!B11</f>
        <v>ANDRI ANDRIAN</v>
      </c>
      <c r="D15" s="44" t="str">
        <f>data_diri_siswa!E11</f>
        <v>L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5" customHeight="1" x14ac:dyDescent="0.25">
      <c r="A16" s="41"/>
      <c r="B16" s="46">
        <f>data_diri_siswa!A12</f>
        <v>14501005</v>
      </c>
      <c r="C16" s="43" t="str">
        <f>data_diri_siswa!B12</f>
        <v>ANGGI AL-ZIFARI</v>
      </c>
      <c r="D16" s="44" t="str">
        <f>data_diri_siswa!E12</f>
        <v>L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1:35" ht="15" customHeight="1" x14ac:dyDescent="0.25">
      <c r="A17" s="41"/>
      <c r="B17" s="46">
        <f>data_diri_siswa!A13</f>
        <v>14501006</v>
      </c>
      <c r="C17" s="43" t="str">
        <f>data_diri_siswa!B13</f>
        <v>Anisa Fitriani Solehah</v>
      </c>
      <c r="D17" s="44" t="str">
        <f>data_diri_siswa!E13</f>
        <v>P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1:35" ht="15" customHeight="1" x14ac:dyDescent="0.25">
      <c r="A18" s="41"/>
      <c r="B18" s="46">
        <f>data_diri_siswa!A14</f>
        <v>14501007</v>
      </c>
      <c r="C18" s="43" t="str">
        <f>data_diri_siswa!B14</f>
        <v>ANJALITA</v>
      </c>
      <c r="D18" s="44" t="str">
        <f>data_diri_siswa!E14</f>
        <v>P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1:35" ht="15" customHeight="1" x14ac:dyDescent="0.25">
      <c r="A19" s="41"/>
      <c r="B19" s="46" t="str">
        <f>data_diri_siswa!A15</f>
        <v>14501008</v>
      </c>
      <c r="C19" s="43" t="str">
        <f>data_diri_siswa!B15</f>
        <v>Ariya Nugraha</v>
      </c>
      <c r="D19" s="44" t="str">
        <f>data_diri_siswa!E15</f>
        <v>L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1:35" ht="15" customHeight="1" x14ac:dyDescent="0.25">
      <c r="A20" s="41"/>
      <c r="B20" s="46">
        <f>data_diri_siswa!A16</f>
        <v>14501009</v>
      </c>
      <c r="C20" s="43" t="str">
        <f>data_diri_siswa!B16</f>
        <v>BAGUS MULYADI</v>
      </c>
      <c r="D20" s="44" t="str">
        <f>data_diri_siswa!E16</f>
        <v>L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1:35" ht="15" customHeight="1" x14ac:dyDescent="0.25">
      <c r="A21" s="41"/>
      <c r="B21" s="46">
        <f>data_diri_siswa!A17</f>
        <v>14501010</v>
      </c>
      <c r="C21" s="43" t="str">
        <f>data_diri_siswa!B17</f>
        <v>Dede Somantri</v>
      </c>
      <c r="D21" s="44" t="str">
        <f>data_diri_siswa!E17</f>
        <v>L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1:35" ht="15" customHeight="1" x14ac:dyDescent="0.25">
      <c r="A22" s="41"/>
      <c r="B22" s="46" t="e">
        <f>data_diri_siswa!#REF!</f>
        <v>#REF!</v>
      </c>
      <c r="C22" s="43" t="e">
        <f>data_diri_siswa!#REF!</f>
        <v>#REF!</v>
      </c>
      <c r="D22" s="44" t="e">
        <f>data_diri_siswa!#REF!</f>
        <v>#REF!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1:35" ht="15" customHeight="1" x14ac:dyDescent="0.25">
      <c r="A23" s="41"/>
      <c r="B23" s="46">
        <f>data_diri_siswa!A18</f>
        <v>14501011</v>
      </c>
      <c r="C23" s="43" t="str">
        <f>data_diri_siswa!B18</f>
        <v>DENI RAHDIANSYAH</v>
      </c>
      <c r="D23" s="44" t="str">
        <f>data_diri_siswa!E18</f>
        <v>L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1:35" ht="15" customHeight="1" x14ac:dyDescent="0.25">
      <c r="A24" s="41"/>
      <c r="B24" s="46">
        <f>data_diri_siswa!A19</f>
        <v>14501013</v>
      </c>
      <c r="C24" s="43" t="str">
        <f>data_diri_siswa!B19</f>
        <v>FANI JULIANTI</v>
      </c>
      <c r="D24" s="44" t="str">
        <f>data_diri_siswa!E19</f>
        <v>P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1:35" ht="15" customHeight="1" x14ac:dyDescent="0.25">
      <c r="A25" s="41"/>
      <c r="B25" s="46">
        <f>data_diri_siswa!A20</f>
        <v>14501014</v>
      </c>
      <c r="C25" s="43" t="str">
        <f>data_diri_siswa!B20</f>
        <v>FIRMANSYAH</v>
      </c>
      <c r="D25" s="44" t="str">
        <f>data_diri_siswa!E20</f>
        <v>L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1:35" ht="15" customHeight="1" x14ac:dyDescent="0.25">
      <c r="A26" s="41"/>
      <c r="B26" s="46">
        <f>data_diri_siswa!A21</f>
        <v>14501015</v>
      </c>
      <c r="C26" s="43" t="str">
        <f>data_diri_siswa!B21</f>
        <v>FRISCKA TRESNALIA SUKMA</v>
      </c>
      <c r="D26" s="44" t="str">
        <f>data_diri_siswa!E21</f>
        <v>P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1:35" ht="15" customHeight="1" x14ac:dyDescent="0.25">
      <c r="A27" s="41"/>
      <c r="B27" s="46">
        <f>data_diri_siswa!A22</f>
        <v>14501016</v>
      </c>
      <c r="C27" s="43" t="str">
        <f>data_diri_siswa!B22</f>
        <v>ILHAM BINTANG KARISMA</v>
      </c>
      <c r="D27" s="44" t="str">
        <f>data_diri_siswa!E22</f>
        <v>L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1:35" ht="15" customHeight="1" x14ac:dyDescent="0.25">
      <c r="A28" s="41"/>
      <c r="B28" s="46" t="e">
        <f>data_diri_siswa!#REF!</f>
        <v>#REF!</v>
      </c>
      <c r="C28" s="43" t="e">
        <f>data_diri_siswa!#REF!</f>
        <v>#REF!</v>
      </c>
      <c r="D28" s="44" t="e">
        <f>data_diri_siswa!#REF!</f>
        <v>#REF!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1:35" ht="15" customHeight="1" x14ac:dyDescent="0.25">
      <c r="A29" s="41"/>
      <c r="B29" s="46" t="e">
        <f>data_diri_siswa!#REF!</f>
        <v>#REF!</v>
      </c>
      <c r="C29" s="43" t="e">
        <f>data_diri_siswa!#REF!</f>
        <v>#REF!</v>
      </c>
      <c r="D29" s="44" t="e">
        <f>data_diri_siswa!#REF!</f>
        <v>#REF!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1:35" ht="15" customHeight="1" x14ac:dyDescent="0.25">
      <c r="A30" s="41"/>
      <c r="B30" s="46" t="e">
        <f>data_diri_siswa!#REF!</f>
        <v>#REF!</v>
      </c>
      <c r="C30" s="43" t="e">
        <f>data_diri_siswa!#REF!</f>
        <v>#REF!</v>
      </c>
      <c r="D30" s="44" t="e">
        <f>data_diri_siswa!#REF!</f>
        <v>#REF!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1:35" ht="15" customHeight="1" x14ac:dyDescent="0.25">
      <c r="A31" s="41"/>
      <c r="B31" s="46">
        <f>data_diri_siswa!A23</f>
        <v>14501018</v>
      </c>
      <c r="C31" s="43" t="str">
        <f>data_diri_siswa!B23</f>
        <v>Mutiara Nurlaelani</v>
      </c>
      <c r="D31" s="44" t="str">
        <f>data_diri_siswa!E23</f>
        <v>P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1:35" ht="15" customHeight="1" x14ac:dyDescent="0.25">
      <c r="A32" s="41"/>
      <c r="B32" s="46">
        <f>data_diri_siswa!A24</f>
        <v>14501019</v>
      </c>
      <c r="C32" s="43" t="str">
        <f>data_diri_siswa!B24</f>
        <v>NOOR KAMAL</v>
      </c>
      <c r="D32" s="44" t="str">
        <f>data_diri_siswa!E24</f>
        <v>L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1:35" ht="15" customHeight="1" x14ac:dyDescent="0.25">
      <c r="A33" s="41"/>
      <c r="B33" s="46">
        <f>data_diri_siswa!A25</f>
        <v>14501020</v>
      </c>
      <c r="C33" s="43" t="str">
        <f>data_diri_siswa!B25</f>
        <v>Rangga Akbar Suryana</v>
      </c>
      <c r="D33" s="44" t="str">
        <f>data_diri_siswa!E25</f>
        <v>L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1:35" ht="15" customHeight="1" x14ac:dyDescent="0.25">
      <c r="A34" s="41"/>
      <c r="B34" s="46">
        <f>data_diri_siswa!A26</f>
        <v>14501021</v>
      </c>
      <c r="C34" s="43" t="str">
        <f>data_diri_siswa!B26</f>
        <v>RENDI FERDIANSYAH</v>
      </c>
      <c r="D34" s="44" t="str">
        <f>data_diri_siswa!E26</f>
        <v>L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1:35" ht="15" customHeight="1" x14ac:dyDescent="0.25">
      <c r="A35" s="41"/>
      <c r="B35" s="46">
        <f>data_diri_siswa!A27</f>
        <v>14501022</v>
      </c>
      <c r="C35" s="43" t="str">
        <f>data_diri_siswa!B27</f>
        <v>RIGITA AUDIRA PUTRI</v>
      </c>
      <c r="D35" s="44" t="str">
        <f>data_diri_siswa!E27</f>
        <v>P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1:35" ht="15" customHeight="1" x14ac:dyDescent="0.25">
      <c r="A36" s="41"/>
      <c r="B36" s="46">
        <f>data_diri_siswa!A28</f>
        <v>14501023</v>
      </c>
      <c r="C36" s="43" t="str">
        <f>data_diri_siswa!B28</f>
        <v>Riswandi</v>
      </c>
      <c r="D36" s="44" t="str">
        <f>data_diri_siswa!E28</f>
        <v>L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1:35" ht="15" customHeight="1" x14ac:dyDescent="0.25">
      <c r="A37" s="41"/>
      <c r="B37" s="46">
        <f>data_diri_siswa!A29</f>
        <v>14501024</v>
      </c>
      <c r="C37" s="43" t="str">
        <f>data_diri_siswa!B29</f>
        <v>Rizki Saeful Rohman</v>
      </c>
      <c r="D37" s="44" t="str">
        <f>data_diri_siswa!E29</f>
        <v>L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1:35" ht="15" customHeight="1" x14ac:dyDescent="0.25">
      <c r="A38" s="41"/>
      <c r="B38" s="46">
        <f>data_diri_siswa!A30</f>
        <v>14501025</v>
      </c>
      <c r="C38" s="43" t="str">
        <f>data_diri_siswa!B30</f>
        <v>ROBI ANUGRAH</v>
      </c>
      <c r="D38" s="44" t="str">
        <f>data_diri_siswa!E30</f>
        <v>L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1:35" ht="15" customHeight="1" x14ac:dyDescent="0.25">
      <c r="A39" s="41"/>
      <c r="B39" s="46">
        <f>data_diri_siswa!A31</f>
        <v>14501026</v>
      </c>
      <c r="C39" s="43" t="str">
        <f>data_diri_siswa!B31</f>
        <v>SAFITRI</v>
      </c>
      <c r="D39" s="44" t="str">
        <f>data_diri_siswa!E31</f>
        <v>P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1:35" ht="15" customHeight="1" x14ac:dyDescent="0.25">
      <c r="A40" s="41"/>
      <c r="B40" s="46">
        <f>data_diri_siswa!A32</f>
        <v>14501027</v>
      </c>
      <c r="C40" s="43" t="str">
        <f>data_diri_siswa!B32</f>
        <v>SIPA NOVIA</v>
      </c>
      <c r="D40" s="44" t="str">
        <f>data_diri_siswa!E32</f>
        <v>P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1:35" ht="15" customHeight="1" x14ac:dyDescent="0.25">
      <c r="A41" s="41"/>
      <c r="B41" s="46">
        <f>data_diri_siswa!A33</f>
        <v>14501028</v>
      </c>
      <c r="C41" s="43" t="str">
        <f>data_diri_siswa!B33</f>
        <v>Siva Nur Anisa</v>
      </c>
      <c r="D41" s="44" t="str">
        <f>data_diri_siswa!E33</f>
        <v>P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1:35" ht="15" customHeight="1" x14ac:dyDescent="0.25">
      <c r="A42" s="41"/>
      <c r="B42" s="46">
        <f>data_diri_siswa!A34</f>
        <v>14501029</v>
      </c>
      <c r="C42" s="43" t="str">
        <f>data_diri_siswa!B34</f>
        <v>Surya Andika Nurrahman</v>
      </c>
      <c r="D42" s="44" t="str">
        <f>data_diri_siswa!E34</f>
        <v>L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1:35" ht="15" customHeight="1" x14ac:dyDescent="0.25">
      <c r="A43" s="41"/>
      <c r="B43" s="46">
        <f>data_diri_siswa!A35</f>
        <v>14501030</v>
      </c>
      <c r="C43" s="43" t="str">
        <f>data_diri_siswa!B35</f>
        <v>TAUFIK HIDAYAT</v>
      </c>
      <c r="D43" s="44" t="str">
        <f>data_diri_siswa!E35</f>
        <v>L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1:35" ht="15" customHeight="1" x14ac:dyDescent="0.25">
      <c r="A44" s="41"/>
      <c r="B44" s="46">
        <f>data_diri_siswa!A36</f>
        <v>14501031</v>
      </c>
      <c r="C44" s="43" t="str">
        <f>data_diri_siswa!B36</f>
        <v>Vioni Manda Agustin</v>
      </c>
      <c r="D44" s="44" t="str">
        <f>data_diri_siswa!E36</f>
        <v>P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1:35" ht="15" customHeight="1" x14ac:dyDescent="0.25">
      <c r="A45" s="41"/>
      <c r="B45" s="46">
        <f>data_diri_siswa!A37</f>
        <v>14501032</v>
      </c>
      <c r="C45" s="43" t="str">
        <f>data_diri_siswa!B37</f>
        <v>AHMAD FADILAH</v>
      </c>
      <c r="D45" s="44" t="str">
        <f>data_diri_siswa!E37</f>
        <v>L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1:35" ht="15" customHeight="1" x14ac:dyDescent="0.25">
      <c r="A46" s="41"/>
      <c r="B46" s="46">
        <f>data_diri_siswa!A38</f>
        <v>14501033</v>
      </c>
      <c r="C46" s="43" t="str">
        <f>data_diri_siswa!B38</f>
        <v>ANDHIKA SYANJAYA</v>
      </c>
      <c r="D46" s="44" t="str">
        <f>data_diri_siswa!E38</f>
        <v>L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1:35" ht="15" customHeight="1" x14ac:dyDescent="0.25">
      <c r="A47" s="41"/>
      <c r="B47" s="46">
        <f>data_diri_siswa!A39</f>
        <v>14501034</v>
      </c>
      <c r="C47" s="43" t="str">
        <f>data_diri_siswa!B39</f>
        <v>ANDRIANSYAH</v>
      </c>
      <c r="D47" s="44" t="str">
        <f>data_diri_siswa!E39</f>
        <v>L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1:35" ht="15" customHeight="1" x14ac:dyDescent="0.25">
      <c r="A48" s="41"/>
      <c r="B48" s="46">
        <f>data_diri_siswa!A40</f>
        <v>14501035</v>
      </c>
      <c r="C48" s="43" t="str">
        <f>data_diri_siswa!B40</f>
        <v>AYU WULANDARI</v>
      </c>
      <c r="D48" s="44" t="str">
        <f>data_diri_siswa!E40</f>
        <v>P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1:35" ht="15" customHeight="1" x14ac:dyDescent="0.25">
      <c r="A49" s="47"/>
      <c r="B49" s="48"/>
      <c r="C49" s="49"/>
      <c r="D49" s="49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</row>
    <row r="50" spans="1:35" ht="15" customHeight="1" x14ac:dyDescent="0.25">
      <c r="A50" s="145" t="s">
        <v>106</v>
      </c>
      <c r="B50" s="146"/>
      <c r="D50" s="49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</row>
    <row r="51" spans="1:35" ht="15" customHeight="1" x14ac:dyDescent="0.25">
      <c r="A51" s="52" t="s">
        <v>107</v>
      </c>
      <c r="B51" s="53" t="s">
        <v>108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</row>
    <row r="52" spans="1:35" ht="15" customHeight="1" x14ac:dyDescent="0.25">
      <c r="A52" s="52" t="s">
        <v>109</v>
      </c>
      <c r="B52" s="53" t="s">
        <v>110</v>
      </c>
      <c r="D52" s="55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</row>
    <row r="53" spans="1:35" ht="15" customHeight="1" x14ac:dyDescent="0.25">
      <c r="A53" s="52" t="s">
        <v>111</v>
      </c>
      <c r="B53" s="53" t="s">
        <v>112</v>
      </c>
      <c r="D53" s="55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</row>
    <row r="54" spans="1:35" ht="15" customHeight="1" x14ac:dyDescent="0.25">
      <c r="D54" s="55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</row>
    <row r="55" spans="1:35" ht="15.75" customHeight="1" x14ac:dyDescent="0.3">
      <c r="A55" s="57" t="s">
        <v>113</v>
      </c>
      <c r="B55" s="58"/>
      <c r="C55" s="59" t="s">
        <v>114</v>
      </c>
      <c r="D55" s="55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</row>
    <row r="56" spans="1:35" ht="15.75" customHeight="1" x14ac:dyDescent="0.3">
      <c r="A56" s="57" t="s">
        <v>115</v>
      </c>
      <c r="B56" s="58"/>
      <c r="C56" s="59" t="s">
        <v>116</v>
      </c>
    </row>
    <row r="57" spans="1:35" ht="15.75" customHeight="1" x14ac:dyDescent="0.3">
      <c r="A57" s="57" t="s">
        <v>117</v>
      </c>
      <c r="B57" s="58"/>
      <c r="C57" s="59" t="s">
        <v>118</v>
      </c>
    </row>
    <row r="58" spans="1:35" ht="15" customHeight="1" x14ac:dyDescent="0.25">
      <c r="A58" s="47"/>
      <c r="B58" s="48"/>
      <c r="C58" s="49"/>
    </row>
    <row r="59" spans="1:35" ht="15" customHeight="1" x14ac:dyDescent="0.25">
      <c r="A59" s="50"/>
      <c r="B59" s="60"/>
      <c r="C59" s="54"/>
    </row>
    <row r="60" spans="1:35" ht="15" customHeight="1" x14ac:dyDescent="0.25">
      <c r="A60" s="50"/>
      <c r="B60" s="61"/>
      <c r="C60" s="55"/>
    </row>
  </sheetData>
  <mergeCells count="9">
    <mergeCell ref="A50:B50"/>
    <mergeCell ref="A1:AI1"/>
    <mergeCell ref="A2:AI2"/>
    <mergeCell ref="A3:AI3"/>
    <mergeCell ref="A6:B7"/>
    <mergeCell ref="C6:C8"/>
    <mergeCell ref="D6:D8"/>
    <mergeCell ref="E6:AI7"/>
    <mergeCell ref="E8:A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53"/>
  <sheetViews>
    <sheetView topLeftCell="A20" workbookViewId="0">
      <selection activeCell="D29" sqref="D29"/>
    </sheetView>
  </sheetViews>
  <sheetFormatPr defaultRowHeight="15" x14ac:dyDescent="0.25"/>
  <cols>
    <col min="1" max="1" width="6.42578125" customWidth="1"/>
    <col min="2" max="2" width="12.42578125" style="56" customWidth="1"/>
    <col min="3" max="3" width="32.42578125" customWidth="1"/>
    <col min="4" max="4" width="4.5703125" customWidth="1"/>
    <col min="5" max="35" width="3.28515625" customWidth="1"/>
    <col min="258" max="258" width="4.7109375" customWidth="1"/>
    <col min="259" max="259" width="10.42578125" bestFit="1" customWidth="1"/>
    <col min="260" max="260" width="32.42578125" customWidth="1"/>
    <col min="261" max="261" width="4.5703125" customWidth="1"/>
    <col min="262" max="291" width="3.28515625" customWidth="1"/>
    <col min="514" max="514" width="4.7109375" customWidth="1"/>
    <col min="515" max="515" width="10.42578125" bestFit="1" customWidth="1"/>
    <col min="516" max="516" width="32.42578125" customWidth="1"/>
    <col min="517" max="517" width="4.5703125" customWidth="1"/>
    <col min="518" max="547" width="3.28515625" customWidth="1"/>
    <col min="770" max="770" width="4.7109375" customWidth="1"/>
    <col min="771" max="771" width="10.42578125" bestFit="1" customWidth="1"/>
    <col min="772" max="772" width="32.42578125" customWidth="1"/>
    <col min="773" max="773" width="4.5703125" customWidth="1"/>
    <col min="774" max="803" width="3.28515625" customWidth="1"/>
    <col min="1026" max="1026" width="4.7109375" customWidth="1"/>
    <col min="1027" max="1027" width="10.42578125" bestFit="1" customWidth="1"/>
    <col min="1028" max="1028" width="32.42578125" customWidth="1"/>
    <col min="1029" max="1029" width="4.5703125" customWidth="1"/>
    <col min="1030" max="1059" width="3.28515625" customWidth="1"/>
    <col min="1282" max="1282" width="4.7109375" customWidth="1"/>
    <col min="1283" max="1283" width="10.42578125" bestFit="1" customWidth="1"/>
    <col min="1284" max="1284" width="32.42578125" customWidth="1"/>
    <col min="1285" max="1285" width="4.5703125" customWidth="1"/>
    <col min="1286" max="1315" width="3.28515625" customWidth="1"/>
    <col min="1538" max="1538" width="4.7109375" customWidth="1"/>
    <col min="1539" max="1539" width="10.42578125" bestFit="1" customWidth="1"/>
    <col min="1540" max="1540" width="32.42578125" customWidth="1"/>
    <col min="1541" max="1541" width="4.5703125" customWidth="1"/>
    <col min="1542" max="1571" width="3.28515625" customWidth="1"/>
    <col min="1794" max="1794" width="4.7109375" customWidth="1"/>
    <col min="1795" max="1795" width="10.42578125" bestFit="1" customWidth="1"/>
    <col min="1796" max="1796" width="32.42578125" customWidth="1"/>
    <col min="1797" max="1797" width="4.5703125" customWidth="1"/>
    <col min="1798" max="1827" width="3.28515625" customWidth="1"/>
    <col min="2050" max="2050" width="4.7109375" customWidth="1"/>
    <col min="2051" max="2051" width="10.42578125" bestFit="1" customWidth="1"/>
    <col min="2052" max="2052" width="32.42578125" customWidth="1"/>
    <col min="2053" max="2053" width="4.5703125" customWidth="1"/>
    <col min="2054" max="2083" width="3.28515625" customWidth="1"/>
    <col min="2306" max="2306" width="4.7109375" customWidth="1"/>
    <col min="2307" max="2307" width="10.42578125" bestFit="1" customWidth="1"/>
    <col min="2308" max="2308" width="32.42578125" customWidth="1"/>
    <col min="2309" max="2309" width="4.5703125" customWidth="1"/>
    <col min="2310" max="2339" width="3.28515625" customWidth="1"/>
    <col min="2562" max="2562" width="4.7109375" customWidth="1"/>
    <col min="2563" max="2563" width="10.42578125" bestFit="1" customWidth="1"/>
    <col min="2564" max="2564" width="32.42578125" customWidth="1"/>
    <col min="2565" max="2565" width="4.5703125" customWidth="1"/>
    <col min="2566" max="2595" width="3.28515625" customWidth="1"/>
    <col min="2818" max="2818" width="4.7109375" customWidth="1"/>
    <col min="2819" max="2819" width="10.42578125" bestFit="1" customWidth="1"/>
    <col min="2820" max="2820" width="32.42578125" customWidth="1"/>
    <col min="2821" max="2821" width="4.5703125" customWidth="1"/>
    <col min="2822" max="2851" width="3.28515625" customWidth="1"/>
    <col min="3074" max="3074" width="4.7109375" customWidth="1"/>
    <col min="3075" max="3075" width="10.42578125" bestFit="1" customWidth="1"/>
    <col min="3076" max="3076" width="32.42578125" customWidth="1"/>
    <col min="3077" max="3077" width="4.5703125" customWidth="1"/>
    <col min="3078" max="3107" width="3.28515625" customWidth="1"/>
    <col min="3330" max="3330" width="4.7109375" customWidth="1"/>
    <col min="3331" max="3331" width="10.42578125" bestFit="1" customWidth="1"/>
    <col min="3332" max="3332" width="32.42578125" customWidth="1"/>
    <col min="3333" max="3333" width="4.5703125" customWidth="1"/>
    <col min="3334" max="3363" width="3.28515625" customWidth="1"/>
    <col min="3586" max="3586" width="4.7109375" customWidth="1"/>
    <col min="3587" max="3587" width="10.42578125" bestFit="1" customWidth="1"/>
    <col min="3588" max="3588" width="32.42578125" customWidth="1"/>
    <col min="3589" max="3589" width="4.5703125" customWidth="1"/>
    <col min="3590" max="3619" width="3.28515625" customWidth="1"/>
    <col min="3842" max="3842" width="4.7109375" customWidth="1"/>
    <col min="3843" max="3843" width="10.42578125" bestFit="1" customWidth="1"/>
    <col min="3844" max="3844" width="32.42578125" customWidth="1"/>
    <col min="3845" max="3845" width="4.5703125" customWidth="1"/>
    <col min="3846" max="3875" width="3.28515625" customWidth="1"/>
    <col min="4098" max="4098" width="4.7109375" customWidth="1"/>
    <col min="4099" max="4099" width="10.42578125" bestFit="1" customWidth="1"/>
    <col min="4100" max="4100" width="32.42578125" customWidth="1"/>
    <col min="4101" max="4101" width="4.5703125" customWidth="1"/>
    <col min="4102" max="4131" width="3.28515625" customWidth="1"/>
    <col min="4354" max="4354" width="4.7109375" customWidth="1"/>
    <col min="4355" max="4355" width="10.42578125" bestFit="1" customWidth="1"/>
    <col min="4356" max="4356" width="32.42578125" customWidth="1"/>
    <col min="4357" max="4357" width="4.5703125" customWidth="1"/>
    <col min="4358" max="4387" width="3.28515625" customWidth="1"/>
    <col min="4610" max="4610" width="4.7109375" customWidth="1"/>
    <col min="4611" max="4611" width="10.42578125" bestFit="1" customWidth="1"/>
    <col min="4612" max="4612" width="32.42578125" customWidth="1"/>
    <col min="4613" max="4613" width="4.5703125" customWidth="1"/>
    <col min="4614" max="4643" width="3.28515625" customWidth="1"/>
    <col min="4866" max="4866" width="4.7109375" customWidth="1"/>
    <col min="4867" max="4867" width="10.42578125" bestFit="1" customWidth="1"/>
    <col min="4868" max="4868" width="32.42578125" customWidth="1"/>
    <col min="4869" max="4869" width="4.5703125" customWidth="1"/>
    <col min="4870" max="4899" width="3.28515625" customWidth="1"/>
    <col min="5122" max="5122" width="4.7109375" customWidth="1"/>
    <col min="5123" max="5123" width="10.42578125" bestFit="1" customWidth="1"/>
    <col min="5124" max="5124" width="32.42578125" customWidth="1"/>
    <col min="5125" max="5125" width="4.5703125" customWidth="1"/>
    <col min="5126" max="5155" width="3.28515625" customWidth="1"/>
    <col min="5378" max="5378" width="4.7109375" customWidth="1"/>
    <col min="5379" max="5379" width="10.42578125" bestFit="1" customWidth="1"/>
    <col min="5380" max="5380" width="32.42578125" customWidth="1"/>
    <col min="5381" max="5381" width="4.5703125" customWidth="1"/>
    <col min="5382" max="5411" width="3.28515625" customWidth="1"/>
    <col min="5634" max="5634" width="4.7109375" customWidth="1"/>
    <col min="5635" max="5635" width="10.42578125" bestFit="1" customWidth="1"/>
    <col min="5636" max="5636" width="32.42578125" customWidth="1"/>
    <col min="5637" max="5637" width="4.5703125" customWidth="1"/>
    <col min="5638" max="5667" width="3.28515625" customWidth="1"/>
    <col min="5890" max="5890" width="4.7109375" customWidth="1"/>
    <col min="5891" max="5891" width="10.42578125" bestFit="1" customWidth="1"/>
    <col min="5892" max="5892" width="32.42578125" customWidth="1"/>
    <col min="5893" max="5893" width="4.5703125" customWidth="1"/>
    <col min="5894" max="5923" width="3.28515625" customWidth="1"/>
    <col min="6146" max="6146" width="4.7109375" customWidth="1"/>
    <col min="6147" max="6147" width="10.42578125" bestFit="1" customWidth="1"/>
    <col min="6148" max="6148" width="32.42578125" customWidth="1"/>
    <col min="6149" max="6149" width="4.5703125" customWidth="1"/>
    <col min="6150" max="6179" width="3.28515625" customWidth="1"/>
    <col min="6402" max="6402" width="4.7109375" customWidth="1"/>
    <col min="6403" max="6403" width="10.42578125" bestFit="1" customWidth="1"/>
    <col min="6404" max="6404" width="32.42578125" customWidth="1"/>
    <col min="6405" max="6405" width="4.5703125" customWidth="1"/>
    <col min="6406" max="6435" width="3.28515625" customWidth="1"/>
    <col min="6658" max="6658" width="4.7109375" customWidth="1"/>
    <col min="6659" max="6659" width="10.42578125" bestFit="1" customWidth="1"/>
    <col min="6660" max="6660" width="32.42578125" customWidth="1"/>
    <col min="6661" max="6661" width="4.5703125" customWidth="1"/>
    <col min="6662" max="6691" width="3.28515625" customWidth="1"/>
    <col min="6914" max="6914" width="4.7109375" customWidth="1"/>
    <col min="6915" max="6915" width="10.42578125" bestFit="1" customWidth="1"/>
    <col min="6916" max="6916" width="32.42578125" customWidth="1"/>
    <col min="6917" max="6917" width="4.5703125" customWidth="1"/>
    <col min="6918" max="6947" width="3.28515625" customWidth="1"/>
    <col min="7170" max="7170" width="4.7109375" customWidth="1"/>
    <col min="7171" max="7171" width="10.42578125" bestFit="1" customWidth="1"/>
    <col min="7172" max="7172" width="32.42578125" customWidth="1"/>
    <col min="7173" max="7173" width="4.5703125" customWidth="1"/>
    <col min="7174" max="7203" width="3.28515625" customWidth="1"/>
    <col min="7426" max="7426" width="4.7109375" customWidth="1"/>
    <col min="7427" max="7427" width="10.42578125" bestFit="1" customWidth="1"/>
    <col min="7428" max="7428" width="32.42578125" customWidth="1"/>
    <col min="7429" max="7429" width="4.5703125" customWidth="1"/>
    <col min="7430" max="7459" width="3.28515625" customWidth="1"/>
    <col min="7682" max="7682" width="4.7109375" customWidth="1"/>
    <col min="7683" max="7683" width="10.42578125" bestFit="1" customWidth="1"/>
    <col min="7684" max="7684" width="32.42578125" customWidth="1"/>
    <col min="7685" max="7685" width="4.5703125" customWidth="1"/>
    <col min="7686" max="7715" width="3.28515625" customWidth="1"/>
    <col min="7938" max="7938" width="4.7109375" customWidth="1"/>
    <col min="7939" max="7939" width="10.42578125" bestFit="1" customWidth="1"/>
    <col min="7940" max="7940" width="32.42578125" customWidth="1"/>
    <col min="7941" max="7941" width="4.5703125" customWidth="1"/>
    <col min="7942" max="7971" width="3.28515625" customWidth="1"/>
    <col min="8194" max="8194" width="4.7109375" customWidth="1"/>
    <col min="8195" max="8195" width="10.42578125" bestFit="1" customWidth="1"/>
    <col min="8196" max="8196" width="32.42578125" customWidth="1"/>
    <col min="8197" max="8197" width="4.5703125" customWidth="1"/>
    <col min="8198" max="8227" width="3.28515625" customWidth="1"/>
    <col min="8450" max="8450" width="4.7109375" customWidth="1"/>
    <col min="8451" max="8451" width="10.42578125" bestFit="1" customWidth="1"/>
    <col min="8452" max="8452" width="32.42578125" customWidth="1"/>
    <col min="8453" max="8453" width="4.5703125" customWidth="1"/>
    <col min="8454" max="8483" width="3.28515625" customWidth="1"/>
    <col min="8706" max="8706" width="4.7109375" customWidth="1"/>
    <col min="8707" max="8707" width="10.42578125" bestFit="1" customWidth="1"/>
    <col min="8708" max="8708" width="32.42578125" customWidth="1"/>
    <col min="8709" max="8709" width="4.5703125" customWidth="1"/>
    <col min="8710" max="8739" width="3.28515625" customWidth="1"/>
    <col min="8962" max="8962" width="4.7109375" customWidth="1"/>
    <col min="8963" max="8963" width="10.42578125" bestFit="1" customWidth="1"/>
    <col min="8964" max="8964" width="32.42578125" customWidth="1"/>
    <col min="8965" max="8965" width="4.5703125" customWidth="1"/>
    <col min="8966" max="8995" width="3.28515625" customWidth="1"/>
    <col min="9218" max="9218" width="4.7109375" customWidth="1"/>
    <col min="9219" max="9219" width="10.42578125" bestFit="1" customWidth="1"/>
    <col min="9220" max="9220" width="32.42578125" customWidth="1"/>
    <col min="9221" max="9221" width="4.5703125" customWidth="1"/>
    <col min="9222" max="9251" width="3.28515625" customWidth="1"/>
    <col min="9474" max="9474" width="4.7109375" customWidth="1"/>
    <col min="9475" max="9475" width="10.42578125" bestFit="1" customWidth="1"/>
    <col min="9476" max="9476" width="32.42578125" customWidth="1"/>
    <col min="9477" max="9477" width="4.5703125" customWidth="1"/>
    <col min="9478" max="9507" width="3.28515625" customWidth="1"/>
    <col min="9730" max="9730" width="4.7109375" customWidth="1"/>
    <col min="9731" max="9731" width="10.42578125" bestFit="1" customWidth="1"/>
    <col min="9732" max="9732" width="32.42578125" customWidth="1"/>
    <col min="9733" max="9733" width="4.5703125" customWidth="1"/>
    <col min="9734" max="9763" width="3.28515625" customWidth="1"/>
    <col min="9986" max="9986" width="4.7109375" customWidth="1"/>
    <col min="9987" max="9987" width="10.42578125" bestFit="1" customWidth="1"/>
    <col min="9988" max="9988" width="32.42578125" customWidth="1"/>
    <col min="9989" max="9989" width="4.5703125" customWidth="1"/>
    <col min="9990" max="10019" width="3.28515625" customWidth="1"/>
    <col min="10242" max="10242" width="4.7109375" customWidth="1"/>
    <col min="10243" max="10243" width="10.42578125" bestFit="1" customWidth="1"/>
    <col min="10244" max="10244" width="32.42578125" customWidth="1"/>
    <col min="10245" max="10245" width="4.5703125" customWidth="1"/>
    <col min="10246" max="10275" width="3.28515625" customWidth="1"/>
    <col min="10498" max="10498" width="4.7109375" customWidth="1"/>
    <col min="10499" max="10499" width="10.42578125" bestFit="1" customWidth="1"/>
    <col min="10500" max="10500" width="32.42578125" customWidth="1"/>
    <col min="10501" max="10501" width="4.5703125" customWidth="1"/>
    <col min="10502" max="10531" width="3.28515625" customWidth="1"/>
    <col min="10754" max="10754" width="4.7109375" customWidth="1"/>
    <col min="10755" max="10755" width="10.42578125" bestFit="1" customWidth="1"/>
    <col min="10756" max="10756" width="32.42578125" customWidth="1"/>
    <col min="10757" max="10757" width="4.5703125" customWidth="1"/>
    <col min="10758" max="10787" width="3.28515625" customWidth="1"/>
    <col min="11010" max="11010" width="4.7109375" customWidth="1"/>
    <col min="11011" max="11011" width="10.42578125" bestFit="1" customWidth="1"/>
    <col min="11012" max="11012" width="32.42578125" customWidth="1"/>
    <col min="11013" max="11013" width="4.5703125" customWidth="1"/>
    <col min="11014" max="11043" width="3.28515625" customWidth="1"/>
    <col min="11266" max="11266" width="4.7109375" customWidth="1"/>
    <col min="11267" max="11267" width="10.42578125" bestFit="1" customWidth="1"/>
    <col min="11268" max="11268" width="32.42578125" customWidth="1"/>
    <col min="11269" max="11269" width="4.5703125" customWidth="1"/>
    <col min="11270" max="11299" width="3.28515625" customWidth="1"/>
    <col min="11522" max="11522" width="4.7109375" customWidth="1"/>
    <col min="11523" max="11523" width="10.42578125" bestFit="1" customWidth="1"/>
    <col min="11524" max="11524" width="32.42578125" customWidth="1"/>
    <col min="11525" max="11525" width="4.5703125" customWidth="1"/>
    <col min="11526" max="11555" width="3.28515625" customWidth="1"/>
    <col min="11778" max="11778" width="4.7109375" customWidth="1"/>
    <col min="11779" max="11779" width="10.42578125" bestFit="1" customWidth="1"/>
    <col min="11780" max="11780" width="32.42578125" customWidth="1"/>
    <col min="11781" max="11781" width="4.5703125" customWidth="1"/>
    <col min="11782" max="11811" width="3.28515625" customWidth="1"/>
    <col min="12034" max="12034" width="4.7109375" customWidth="1"/>
    <col min="12035" max="12035" width="10.42578125" bestFit="1" customWidth="1"/>
    <col min="12036" max="12036" width="32.42578125" customWidth="1"/>
    <col min="12037" max="12037" width="4.5703125" customWidth="1"/>
    <col min="12038" max="12067" width="3.28515625" customWidth="1"/>
    <col min="12290" max="12290" width="4.7109375" customWidth="1"/>
    <col min="12291" max="12291" width="10.42578125" bestFit="1" customWidth="1"/>
    <col min="12292" max="12292" width="32.42578125" customWidth="1"/>
    <col min="12293" max="12293" width="4.5703125" customWidth="1"/>
    <col min="12294" max="12323" width="3.28515625" customWidth="1"/>
    <col min="12546" max="12546" width="4.7109375" customWidth="1"/>
    <col min="12547" max="12547" width="10.42578125" bestFit="1" customWidth="1"/>
    <col min="12548" max="12548" width="32.42578125" customWidth="1"/>
    <col min="12549" max="12549" width="4.5703125" customWidth="1"/>
    <col min="12550" max="12579" width="3.28515625" customWidth="1"/>
    <col min="12802" max="12802" width="4.7109375" customWidth="1"/>
    <col min="12803" max="12803" width="10.42578125" bestFit="1" customWidth="1"/>
    <col min="12804" max="12804" width="32.42578125" customWidth="1"/>
    <col min="12805" max="12805" width="4.5703125" customWidth="1"/>
    <col min="12806" max="12835" width="3.28515625" customWidth="1"/>
    <col min="13058" max="13058" width="4.7109375" customWidth="1"/>
    <col min="13059" max="13059" width="10.42578125" bestFit="1" customWidth="1"/>
    <col min="13060" max="13060" width="32.42578125" customWidth="1"/>
    <col min="13061" max="13061" width="4.5703125" customWidth="1"/>
    <col min="13062" max="13091" width="3.28515625" customWidth="1"/>
    <col min="13314" max="13314" width="4.7109375" customWidth="1"/>
    <col min="13315" max="13315" width="10.42578125" bestFit="1" customWidth="1"/>
    <col min="13316" max="13316" width="32.42578125" customWidth="1"/>
    <col min="13317" max="13317" width="4.5703125" customWidth="1"/>
    <col min="13318" max="13347" width="3.28515625" customWidth="1"/>
    <col min="13570" max="13570" width="4.7109375" customWidth="1"/>
    <col min="13571" max="13571" width="10.42578125" bestFit="1" customWidth="1"/>
    <col min="13572" max="13572" width="32.42578125" customWidth="1"/>
    <col min="13573" max="13573" width="4.5703125" customWidth="1"/>
    <col min="13574" max="13603" width="3.28515625" customWidth="1"/>
    <col min="13826" max="13826" width="4.7109375" customWidth="1"/>
    <col min="13827" max="13827" width="10.42578125" bestFit="1" customWidth="1"/>
    <col min="13828" max="13828" width="32.42578125" customWidth="1"/>
    <col min="13829" max="13829" width="4.5703125" customWidth="1"/>
    <col min="13830" max="13859" width="3.28515625" customWidth="1"/>
    <col min="14082" max="14082" width="4.7109375" customWidth="1"/>
    <col min="14083" max="14083" width="10.42578125" bestFit="1" customWidth="1"/>
    <col min="14084" max="14084" width="32.42578125" customWidth="1"/>
    <col min="14085" max="14085" width="4.5703125" customWidth="1"/>
    <col min="14086" max="14115" width="3.28515625" customWidth="1"/>
    <col min="14338" max="14338" width="4.7109375" customWidth="1"/>
    <col min="14339" max="14339" width="10.42578125" bestFit="1" customWidth="1"/>
    <col min="14340" max="14340" width="32.42578125" customWidth="1"/>
    <col min="14341" max="14341" width="4.5703125" customWidth="1"/>
    <col min="14342" max="14371" width="3.28515625" customWidth="1"/>
    <col min="14594" max="14594" width="4.7109375" customWidth="1"/>
    <col min="14595" max="14595" width="10.42578125" bestFit="1" customWidth="1"/>
    <col min="14596" max="14596" width="32.42578125" customWidth="1"/>
    <col min="14597" max="14597" width="4.5703125" customWidth="1"/>
    <col min="14598" max="14627" width="3.28515625" customWidth="1"/>
    <col min="14850" max="14850" width="4.7109375" customWidth="1"/>
    <col min="14851" max="14851" width="10.42578125" bestFit="1" customWidth="1"/>
    <col min="14852" max="14852" width="32.42578125" customWidth="1"/>
    <col min="14853" max="14853" width="4.5703125" customWidth="1"/>
    <col min="14854" max="14883" width="3.28515625" customWidth="1"/>
    <col min="15106" max="15106" width="4.7109375" customWidth="1"/>
    <col min="15107" max="15107" width="10.42578125" bestFit="1" customWidth="1"/>
    <col min="15108" max="15108" width="32.42578125" customWidth="1"/>
    <col min="15109" max="15109" width="4.5703125" customWidth="1"/>
    <col min="15110" max="15139" width="3.28515625" customWidth="1"/>
    <col min="15362" max="15362" width="4.7109375" customWidth="1"/>
    <col min="15363" max="15363" width="10.42578125" bestFit="1" customWidth="1"/>
    <col min="15364" max="15364" width="32.42578125" customWidth="1"/>
    <col min="15365" max="15365" width="4.5703125" customWidth="1"/>
    <col min="15366" max="15395" width="3.28515625" customWidth="1"/>
    <col min="15618" max="15618" width="4.7109375" customWidth="1"/>
    <col min="15619" max="15619" width="10.42578125" bestFit="1" customWidth="1"/>
    <col min="15620" max="15620" width="32.42578125" customWidth="1"/>
    <col min="15621" max="15621" width="4.5703125" customWidth="1"/>
    <col min="15622" max="15651" width="3.28515625" customWidth="1"/>
    <col min="15874" max="15874" width="4.7109375" customWidth="1"/>
    <col min="15875" max="15875" width="10.42578125" bestFit="1" customWidth="1"/>
    <col min="15876" max="15876" width="32.42578125" customWidth="1"/>
    <col min="15877" max="15877" width="4.5703125" customWidth="1"/>
    <col min="15878" max="15907" width="3.28515625" customWidth="1"/>
    <col min="16130" max="16130" width="4.7109375" customWidth="1"/>
    <col min="16131" max="16131" width="10.42578125" bestFit="1" customWidth="1"/>
    <col min="16132" max="16132" width="32.42578125" customWidth="1"/>
    <col min="16133" max="16133" width="4.5703125" customWidth="1"/>
    <col min="16134" max="16163" width="3.28515625" customWidth="1"/>
  </cols>
  <sheetData>
    <row r="1" spans="1:35" ht="16.5" customHeight="1" x14ac:dyDescent="0.3">
      <c r="A1" s="147" t="s">
        <v>96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ht="16.5" customHeight="1" x14ac:dyDescent="0.3">
      <c r="A2" s="147" t="s">
        <v>97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</row>
    <row r="3" spans="1:35" ht="16.5" customHeight="1" x14ac:dyDescent="0.3">
      <c r="A3" s="147" t="s">
        <v>98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</row>
    <row r="4" spans="1:35" ht="15.75" customHeight="1" x14ac:dyDescent="0.3">
      <c r="A4" s="36" t="s">
        <v>121</v>
      </c>
      <c r="B4" s="37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1:35" ht="15.75" customHeight="1" x14ac:dyDescent="0.3">
      <c r="A5" s="36"/>
      <c r="B5" s="37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35" ht="15" customHeight="1" x14ac:dyDescent="0.25">
      <c r="A6" s="148" t="s">
        <v>99</v>
      </c>
      <c r="B6" s="149"/>
      <c r="C6" s="152" t="s">
        <v>100</v>
      </c>
      <c r="D6" s="152" t="s">
        <v>101</v>
      </c>
      <c r="E6" s="155" t="s">
        <v>102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7"/>
    </row>
    <row r="7" spans="1:35" ht="15" customHeight="1" x14ac:dyDescent="0.25">
      <c r="A7" s="150"/>
      <c r="B7" s="151"/>
      <c r="C7" s="153"/>
      <c r="D7" s="153"/>
      <c r="E7" s="158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60"/>
    </row>
    <row r="8" spans="1:35" ht="15.75" customHeight="1" x14ac:dyDescent="0.3">
      <c r="A8" s="39" t="s">
        <v>103</v>
      </c>
      <c r="B8" s="40" t="s">
        <v>104</v>
      </c>
      <c r="C8" s="154"/>
      <c r="D8" s="154"/>
      <c r="E8" s="161" t="s">
        <v>105</v>
      </c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3"/>
    </row>
    <row r="9" spans="1:35" ht="15" customHeight="1" x14ac:dyDescent="0.25">
      <c r="A9" s="41" t="s">
        <v>16</v>
      </c>
      <c r="B9" s="42">
        <f>data_diri_siswa!A37</f>
        <v>14501032</v>
      </c>
      <c r="C9" s="43" t="str">
        <f>data_diri_siswa!B37</f>
        <v>AHMAD FADILAH</v>
      </c>
      <c r="D9" s="44" t="str">
        <f>data_diri_siswa!E37</f>
        <v>L</v>
      </c>
      <c r="E9" s="45">
        <v>1</v>
      </c>
      <c r="F9" s="45">
        <v>2</v>
      </c>
      <c r="G9" s="45">
        <v>3</v>
      </c>
      <c r="H9" s="45">
        <v>4</v>
      </c>
      <c r="I9" s="45">
        <v>5</v>
      </c>
      <c r="J9" s="45">
        <v>6</v>
      </c>
      <c r="K9" s="45">
        <v>7</v>
      </c>
      <c r="L9" s="45">
        <v>8</v>
      </c>
      <c r="M9" s="45">
        <v>9</v>
      </c>
      <c r="N9" s="45">
        <v>10</v>
      </c>
      <c r="O9" s="45">
        <v>11</v>
      </c>
      <c r="P9" s="45">
        <v>12</v>
      </c>
      <c r="Q9" s="45">
        <v>13</v>
      </c>
      <c r="R9" s="45">
        <v>14</v>
      </c>
      <c r="S9" s="45">
        <v>15</v>
      </c>
      <c r="T9" s="45">
        <v>16</v>
      </c>
      <c r="U9" s="45">
        <v>17</v>
      </c>
      <c r="V9" s="45">
        <v>18</v>
      </c>
      <c r="W9" s="45">
        <v>19</v>
      </c>
      <c r="X9" s="45">
        <v>20</v>
      </c>
      <c r="Y9" s="45">
        <v>21</v>
      </c>
      <c r="Z9" s="45">
        <v>22</v>
      </c>
      <c r="AA9" s="45">
        <v>23</v>
      </c>
      <c r="AB9" s="45">
        <v>24</v>
      </c>
      <c r="AC9" s="45">
        <v>25</v>
      </c>
      <c r="AD9" s="45">
        <v>26</v>
      </c>
      <c r="AE9" s="45">
        <v>27</v>
      </c>
      <c r="AF9" s="45">
        <v>28</v>
      </c>
      <c r="AG9" s="45">
        <v>29</v>
      </c>
      <c r="AH9" s="45">
        <v>30</v>
      </c>
      <c r="AI9" s="45">
        <v>31</v>
      </c>
    </row>
    <row r="10" spans="1:35" ht="15" customHeight="1" x14ac:dyDescent="0.25">
      <c r="A10" s="41"/>
      <c r="B10" s="42">
        <f>data_diri_siswa!A38</f>
        <v>14501033</v>
      </c>
      <c r="C10" s="43" t="str">
        <f>data_diri_siswa!B38</f>
        <v>ANDHIKA SYANJAYA</v>
      </c>
      <c r="D10" s="44"/>
      <c r="E10" s="45"/>
      <c r="F10" s="45"/>
      <c r="G10" s="45"/>
      <c r="H10" s="45"/>
      <c r="I10" s="45"/>
      <c r="J10" s="45"/>
      <c r="K10" s="45"/>
      <c r="L10" s="45" t="s">
        <v>16</v>
      </c>
      <c r="M10" s="45" t="s">
        <v>16</v>
      </c>
      <c r="N10" s="45" t="s">
        <v>16</v>
      </c>
      <c r="O10" s="45" t="s">
        <v>16</v>
      </c>
      <c r="P10" s="45" t="s">
        <v>16</v>
      </c>
      <c r="Q10" s="45" t="s">
        <v>16</v>
      </c>
      <c r="R10" s="45" t="s">
        <v>16</v>
      </c>
      <c r="S10" s="45" t="s">
        <v>16</v>
      </c>
      <c r="T10" s="45" t="s">
        <v>16</v>
      </c>
      <c r="U10" s="45" t="s">
        <v>16</v>
      </c>
      <c r="V10" s="45" t="s">
        <v>16</v>
      </c>
      <c r="W10" s="45" t="s">
        <v>16</v>
      </c>
      <c r="X10" s="45" t="s">
        <v>16</v>
      </c>
      <c r="Y10" s="45" t="s">
        <v>16</v>
      </c>
      <c r="Z10" s="45" t="s">
        <v>16</v>
      </c>
      <c r="AA10" s="45" t="s">
        <v>16</v>
      </c>
      <c r="AB10" s="45" t="s">
        <v>16</v>
      </c>
      <c r="AC10" s="45" t="s">
        <v>16</v>
      </c>
      <c r="AD10" s="45" t="s">
        <v>16</v>
      </c>
      <c r="AE10" s="45" t="s">
        <v>16</v>
      </c>
      <c r="AF10" s="45" t="s">
        <v>16</v>
      </c>
      <c r="AG10" s="45" t="s">
        <v>16</v>
      </c>
      <c r="AH10" s="45" t="s">
        <v>16</v>
      </c>
      <c r="AI10" s="45" t="s">
        <v>16</v>
      </c>
    </row>
    <row r="11" spans="1:35" ht="15" customHeight="1" x14ac:dyDescent="0.25">
      <c r="A11" s="41"/>
      <c r="B11" s="42">
        <f>data_diri_siswa!A39</f>
        <v>14501034</v>
      </c>
      <c r="C11" s="43" t="str">
        <f>data_diri_siswa!B39</f>
        <v>ANDRIANSYAH</v>
      </c>
      <c r="D11" s="44"/>
      <c r="E11" s="45"/>
      <c r="F11" s="45"/>
      <c r="G11" s="45"/>
      <c r="H11" s="45"/>
      <c r="I11" s="45"/>
      <c r="J11" s="45"/>
      <c r="K11" s="45"/>
      <c r="L11" s="45" t="s">
        <v>16</v>
      </c>
      <c r="M11" s="45" t="s">
        <v>16</v>
      </c>
      <c r="N11" s="45" t="s">
        <v>16</v>
      </c>
      <c r="O11" s="45" t="s">
        <v>16</v>
      </c>
      <c r="P11" s="45" t="s">
        <v>16</v>
      </c>
      <c r="Q11" s="45" t="s">
        <v>16</v>
      </c>
      <c r="R11" s="45" t="s">
        <v>16</v>
      </c>
      <c r="S11" s="45" t="s">
        <v>16</v>
      </c>
      <c r="T11" s="45" t="s">
        <v>16</v>
      </c>
      <c r="U11" s="45" t="s">
        <v>16</v>
      </c>
      <c r="V11" s="45" t="s">
        <v>16</v>
      </c>
      <c r="W11" s="45" t="s">
        <v>16</v>
      </c>
      <c r="X11" s="45" t="s">
        <v>16</v>
      </c>
      <c r="Y11" s="45" t="s">
        <v>16</v>
      </c>
      <c r="Z11" s="45" t="s">
        <v>16</v>
      </c>
      <c r="AA11" s="45" t="s">
        <v>16</v>
      </c>
      <c r="AB11" s="45" t="s">
        <v>16</v>
      </c>
      <c r="AC11" s="45" t="s">
        <v>16</v>
      </c>
      <c r="AD11" s="45" t="s">
        <v>16</v>
      </c>
      <c r="AE11" s="45" t="s">
        <v>16</v>
      </c>
      <c r="AF11" s="45" t="s">
        <v>16</v>
      </c>
      <c r="AG11" s="45" t="s">
        <v>16</v>
      </c>
      <c r="AH11" s="45" t="s">
        <v>16</v>
      </c>
      <c r="AI11" s="45" t="s">
        <v>16</v>
      </c>
    </row>
    <row r="12" spans="1:35" ht="15" customHeight="1" x14ac:dyDescent="0.25">
      <c r="A12" s="41"/>
      <c r="B12" s="42">
        <f>data_diri_siswa!A40</f>
        <v>14501035</v>
      </c>
      <c r="C12" s="43" t="str">
        <f>data_diri_siswa!B40</f>
        <v>AYU WULANDARI</v>
      </c>
      <c r="D12" s="44"/>
      <c r="E12" s="45"/>
      <c r="F12" s="45"/>
      <c r="G12" s="45"/>
      <c r="H12" s="45"/>
      <c r="I12" s="45"/>
      <c r="J12" s="45"/>
      <c r="K12" s="45"/>
      <c r="L12" s="45" t="s">
        <v>16</v>
      </c>
      <c r="M12" s="45" t="s">
        <v>16</v>
      </c>
      <c r="N12" s="45" t="s">
        <v>16</v>
      </c>
      <c r="O12" s="45" t="s">
        <v>16</v>
      </c>
      <c r="P12" s="45" t="s">
        <v>16</v>
      </c>
      <c r="Q12" s="45" t="s">
        <v>16</v>
      </c>
      <c r="R12" s="45" t="s">
        <v>16</v>
      </c>
      <c r="S12" s="45" t="s">
        <v>16</v>
      </c>
      <c r="T12" s="45" t="s">
        <v>16</v>
      </c>
      <c r="U12" s="45" t="s">
        <v>16</v>
      </c>
      <c r="V12" s="45" t="s">
        <v>16</v>
      </c>
      <c r="W12" s="45" t="s">
        <v>16</v>
      </c>
      <c r="X12" s="45" t="s">
        <v>16</v>
      </c>
      <c r="Y12" s="45" t="s">
        <v>16</v>
      </c>
      <c r="Z12" s="45" t="s">
        <v>16</v>
      </c>
      <c r="AA12" s="45" t="s">
        <v>16</v>
      </c>
      <c r="AB12" s="45" t="s">
        <v>16</v>
      </c>
      <c r="AC12" s="45" t="s">
        <v>16</v>
      </c>
      <c r="AD12" s="45" t="s">
        <v>16</v>
      </c>
      <c r="AE12" s="45" t="s">
        <v>16</v>
      </c>
      <c r="AF12" s="45" t="s">
        <v>16</v>
      </c>
      <c r="AG12" s="45" t="s">
        <v>16</v>
      </c>
      <c r="AH12" s="45" t="s">
        <v>16</v>
      </c>
      <c r="AI12" s="45" t="s">
        <v>16</v>
      </c>
    </row>
    <row r="13" spans="1:35" ht="15" customHeight="1" x14ac:dyDescent="0.25">
      <c r="A13" s="41"/>
      <c r="B13" s="42">
        <f>data_diri_siswa!A41</f>
        <v>14501036</v>
      </c>
      <c r="C13" s="43" t="str">
        <f>data_diri_siswa!B41</f>
        <v>CINDY DARYANTI</v>
      </c>
      <c r="D13" s="44"/>
      <c r="E13" s="45"/>
      <c r="F13" s="45"/>
      <c r="G13" s="45"/>
      <c r="H13" s="45"/>
      <c r="I13" s="45"/>
      <c r="J13" s="45"/>
      <c r="K13" s="45"/>
      <c r="L13" s="45" t="s">
        <v>16</v>
      </c>
      <c r="M13" s="45" t="s">
        <v>16</v>
      </c>
      <c r="N13" s="45" t="s">
        <v>16</v>
      </c>
      <c r="O13" s="45" t="s">
        <v>16</v>
      </c>
      <c r="P13" s="45" t="s">
        <v>16</v>
      </c>
      <c r="Q13" s="45" t="s">
        <v>16</v>
      </c>
      <c r="R13" s="45" t="s">
        <v>16</v>
      </c>
      <c r="S13" s="45" t="s">
        <v>16</v>
      </c>
      <c r="T13" s="45" t="s">
        <v>16</v>
      </c>
      <c r="U13" s="45" t="s">
        <v>16</v>
      </c>
      <c r="V13" s="45" t="s">
        <v>16</v>
      </c>
      <c r="W13" s="45" t="s">
        <v>16</v>
      </c>
      <c r="X13" s="45" t="s">
        <v>16</v>
      </c>
      <c r="Y13" s="45" t="s">
        <v>16</v>
      </c>
      <c r="Z13" s="45" t="s">
        <v>16</v>
      </c>
      <c r="AA13" s="45" t="s">
        <v>16</v>
      </c>
      <c r="AB13" s="45" t="s">
        <v>16</v>
      </c>
      <c r="AC13" s="45" t="s">
        <v>16</v>
      </c>
      <c r="AD13" s="45" t="s">
        <v>16</v>
      </c>
      <c r="AE13" s="45" t="s">
        <v>16</v>
      </c>
      <c r="AF13" s="45" t="s">
        <v>16</v>
      </c>
      <c r="AG13" s="45" t="s">
        <v>16</v>
      </c>
      <c r="AH13" s="45" t="s">
        <v>16</v>
      </c>
      <c r="AI13" s="45" t="s">
        <v>16</v>
      </c>
    </row>
    <row r="14" spans="1:35" ht="15" customHeight="1" x14ac:dyDescent="0.25">
      <c r="A14" s="41"/>
      <c r="B14" s="42">
        <f>data_diri_siswa!A42</f>
        <v>14501037</v>
      </c>
      <c r="C14" s="43" t="str">
        <f>data_diri_siswa!B42</f>
        <v>DANI RAMDANI</v>
      </c>
      <c r="D14" s="44"/>
      <c r="E14" s="45"/>
      <c r="F14" s="45"/>
      <c r="G14" s="45"/>
      <c r="H14" s="45"/>
      <c r="I14" s="45"/>
      <c r="J14" s="45"/>
      <c r="K14" s="45"/>
      <c r="L14" s="45" t="s">
        <v>16</v>
      </c>
      <c r="M14" s="45" t="s">
        <v>16</v>
      </c>
      <c r="N14" s="45" t="s">
        <v>16</v>
      </c>
      <c r="O14" s="45" t="s">
        <v>16</v>
      </c>
      <c r="P14" s="45" t="s">
        <v>16</v>
      </c>
      <c r="Q14" s="45" t="s">
        <v>16</v>
      </c>
      <c r="R14" s="45" t="s">
        <v>16</v>
      </c>
      <c r="S14" s="45" t="s">
        <v>16</v>
      </c>
      <c r="T14" s="45" t="s">
        <v>16</v>
      </c>
      <c r="U14" s="45" t="s">
        <v>16</v>
      </c>
      <c r="V14" s="45" t="s">
        <v>16</v>
      </c>
      <c r="W14" s="45" t="s">
        <v>16</v>
      </c>
      <c r="X14" s="45" t="s">
        <v>16</v>
      </c>
      <c r="Y14" s="45" t="s">
        <v>16</v>
      </c>
      <c r="Z14" s="45" t="s">
        <v>16</v>
      </c>
      <c r="AA14" s="45" t="s">
        <v>16</v>
      </c>
      <c r="AB14" s="45" t="s">
        <v>16</v>
      </c>
      <c r="AC14" s="45" t="s">
        <v>16</v>
      </c>
      <c r="AD14" s="45" t="s">
        <v>16</v>
      </c>
      <c r="AE14" s="45" t="s">
        <v>16</v>
      </c>
      <c r="AF14" s="45" t="s">
        <v>16</v>
      </c>
      <c r="AG14" s="45" t="s">
        <v>16</v>
      </c>
      <c r="AH14" s="45" t="s">
        <v>16</v>
      </c>
      <c r="AI14" s="45" t="s">
        <v>16</v>
      </c>
    </row>
    <row r="15" spans="1:35" ht="15" customHeight="1" x14ac:dyDescent="0.25">
      <c r="A15" s="41"/>
      <c r="B15" s="42">
        <f>data_diri_siswa!A43</f>
        <v>14501038</v>
      </c>
      <c r="C15" s="43" t="str">
        <f>data_diri_siswa!B43</f>
        <v>DARA YOLITA RAMADATI</v>
      </c>
      <c r="D15" s="44"/>
      <c r="E15" s="45"/>
      <c r="F15" s="45"/>
      <c r="G15" s="45"/>
      <c r="H15" s="45"/>
      <c r="I15" s="45"/>
      <c r="J15" s="45"/>
      <c r="K15" s="45"/>
      <c r="L15" s="45" t="s">
        <v>16</v>
      </c>
      <c r="M15" s="45" t="s">
        <v>16</v>
      </c>
      <c r="N15" s="45" t="s">
        <v>16</v>
      </c>
      <c r="O15" s="45" t="s">
        <v>16</v>
      </c>
      <c r="P15" s="45" t="s">
        <v>16</v>
      </c>
      <c r="Q15" s="45" t="s">
        <v>16</v>
      </c>
      <c r="R15" s="45" t="s">
        <v>16</v>
      </c>
      <c r="S15" s="45" t="s">
        <v>16</v>
      </c>
      <c r="T15" s="45" t="s">
        <v>16</v>
      </c>
      <c r="U15" s="45" t="s">
        <v>16</v>
      </c>
      <c r="V15" s="45" t="s">
        <v>16</v>
      </c>
      <c r="W15" s="45" t="s">
        <v>16</v>
      </c>
      <c r="X15" s="45" t="s">
        <v>16</v>
      </c>
      <c r="Y15" s="45" t="s">
        <v>16</v>
      </c>
      <c r="Z15" s="45" t="s">
        <v>16</v>
      </c>
      <c r="AA15" s="45" t="s">
        <v>16</v>
      </c>
      <c r="AB15" s="45" t="s">
        <v>16</v>
      </c>
      <c r="AC15" s="45" t="s">
        <v>16</v>
      </c>
      <c r="AD15" s="45" t="s">
        <v>16</v>
      </c>
      <c r="AE15" s="45" t="s">
        <v>16</v>
      </c>
      <c r="AF15" s="45" t="s">
        <v>16</v>
      </c>
      <c r="AG15" s="45" t="s">
        <v>16</v>
      </c>
      <c r="AH15" s="45" t="s">
        <v>16</v>
      </c>
      <c r="AI15" s="45" t="s">
        <v>16</v>
      </c>
    </row>
    <row r="16" spans="1:35" ht="15" customHeight="1" x14ac:dyDescent="0.25">
      <c r="A16" s="41"/>
      <c r="B16" s="42">
        <f>data_diri_siswa!A44</f>
        <v>14501039</v>
      </c>
      <c r="C16" s="43" t="str">
        <f>data_diri_siswa!B44</f>
        <v>DEMIRA</v>
      </c>
      <c r="D16" s="44"/>
      <c r="E16" s="45"/>
      <c r="F16" s="45"/>
      <c r="G16" s="45"/>
      <c r="H16" s="45"/>
      <c r="I16" s="45"/>
      <c r="J16" s="45"/>
      <c r="K16" s="45"/>
      <c r="L16" s="45" t="s">
        <v>16</v>
      </c>
      <c r="M16" s="45" t="s">
        <v>16</v>
      </c>
      <c r="N16" s="45" t="s">
        <v>16</v>
      </c>
      <c r="O16" s="45" t="s">
        <v>16</v>
      </c>
      <c r="P16" s="45" t="s">
        <v>16</v>
      </c>
      <c r="Q16" s="45" t="s">
        <v>16</v>
      </c>
      <c r="R16" s="45" t="s">
        <v>16</v>
      </c>
      <c r="S16" s="45" t="s">
        <v>16</v>
      </c>
      <c r="T16" s="45" t="s">
        <v>16</v>
      </c>
      <c r="U16" s="45" t="s">
        <v>16</v>
      </c>
      <c r="V16" s="45" t="s">
        <v>16</v>
      </c>
      <c r="W16" s="45" t="s">
        <v>16</v>
      </c>
      <c r="X16" s="45" t="s">
        <v>16</v>
      </c>
      <c r="Y16" s="45" t="s">
        <v>16</v>
      </c>
      <c r="Z16" s="45" t="s">
        <v>16</v>
      </c>
      <c r="AA16" s="45" t="s">
        <v>16</v>
      </c>
      <c r="AB16" s="45" t="s">
        <v>16</v>
      </c>
      <c r="AC16" s="45" t="s">
        <v>16</v>
      </c>
      <c r="AD16" s="45" t="s">
        <v>16</v>
      </c>
      <c r="AE16" s="45" t="s">
        <v>16</v>
      </c>
      <c r="AF16" s="45" t="s">
        <v>16</v>
      </c>
      <c r="AG16" s="45" t="s">
        <v>16</v>
      </c>
      <c r="AH16" s="45" t="s">
        <v>16</v>
      </c>
      <c r="AI16" s="45" t="s">
        <v>16</v>
      </c>
    </row>
    <row r="17" spans="1:35" ht="15" customHeight="1" x14ac:dyDescent="0.25">
      <c r="A17" s="41"/>
      <c r="B17" s="42">
        <f>data_diri_siswa!A45</f>
        <v>14501040</v>
      </c>
      <c r="C17" s="43" t="str">
        <f>data_diri_siswa!B45</f>
        <v>DEVAL KURNIANSYAH</v>
      </c>
      <c r="D17" s="44"/>
      <c r="E17" s="45"/>
      <c r="F17" s="45"/>
      <c r="G17" s="45"/>
      <c r="H17" s="45"/>
      <c r="I17" s="45"/>
      <c r="J17" s="45"/>
      <c r="K17" s="45"/>
      <c r="L17" s="45" t="s">
        <v>16</v>
      </c>
      <c r="M17" s="45" t="s">
        <v>16</v>
      </c>
      <c r="N17" s="45" t="s">
        <v>16</v>
      </c>
      <c r="O17" s="45" t="s">
        <v>16</v>
      </c>
      <c r="P17" s="45" t="s">
        <v>16</v>
      </c>
      <c r="Q17" s="45" t="s">
        <v>16</v>
      </c>
      <c r="R17" s="45" t="s">
        <v>16</v>
      </c>
      <c r="S17" s="45" t="s">
        <v>16</v>
      </c>
      <c r="T17" s="45" t="s">
        <v>16</v>
      </c>
      <c r="U17" s="45" t="s">
        <v>16</v>
      </c>
      <c r="V17" s="45" t="s">
        <v>16</v>
      </c>
      <c r="W17" s="45" t="s">
        <v>16</v>
      </c>
      <c r="X17" s="45" t="s">
        <v>16</v>
      </c>
      <c r="Y17" s="45" t="s">
        <v>16</v>
      </c>
      <c r="Z17" s="45" t="s">
        <v>16</v>
      </c>
      <c r="AA17" s="45" t="s">
        <v>16</v>
      </c>
      <c r="AB17" s="45" t="s">
        <v>16</v>
      </c>
      <c r="AC17" s="45" t="s">
        <v>16</v>
      </c>
      <c r="AD17" s="45" t="s">
        <v>16</v>
      </c>
      <c r="AE17" s="45" t="s">
        <v>16</v>
      </c>
      <c r="AF17" s="45" t="s">
        <v>16</v>
      </c>
      <c r="AG17" s="45" t="s">
        <v>16</v>
      </c>
      <c r="AH17" s="45" t="s">
        <v>16</v>
      </c>
      <c r="AI17" s="45" t="s">
        <v>16</v>
      </c>
    </row>
    <row r="18" spans="1:35" ht="15" customHeight="1" x14ac:dyDescent="0.25">
      <c r="A18" s="41"/>
      <c r="B18" s="42">
        <f>data_diri_siswa!A46</f>
        <v>14501041</v>
      </c>
      <c r="C18" s="43" t="str">
        <f>data_diri_siswa!B46</f>
        <v>FADILLAH RAFI ATMAJA SANTOSA</v>
      </c>
      <c r="D18" s="44"/>
      <c r="E18" s="45"/>
      <c r="F18" s="45"/>
      <c r="G18" s="45"/>
      <c r="H18" s="45"/>
      <c r="I18" s="45"/>
      <c r="J18" s="45"/>
      <c r="K18" s="45"/>
      <c r="L18" s="45" t="s">
        <v>16</v>
      </c>
      <c r="M18" s="45" t="s">
        <v>16</v>
      </c>
      <c r="N18" s="45" t="s">
        <v>16</v>
      </c>
      <c r="O18" s="45" t="s">
        <v>16</v>
      </c>
      <c r="P18" s="45" t="s">
        <v>16</v>
      </c>
      <c r="Q18" s="45" t="s">
        <v>16</v>
      </c>
      <c r="R18" s="45" t="s">
        <v>16</v>
      </c>
      <c r="S18" s="45" t="s">
        <v>16</v>
      </c>
      <c r="T18" s="45" t="s">
        <v>16</v>
      </c>
      <c r="U18" s="45" t="s">
        <v>16</v>
      </c>
      <c r="V18" s="45" t="s">
        <v>16</v>
      </c>
      <c r="W18" s="45" t="s">
        <v>16</v>
      </c>
      <c r="X18" s="45" t="s">
        <v>16</v>
      </c>
      <c r="Y18" s="45" t="s">
        <v>16</v>
      </c>
      <c r="Z18" s="45" t="s">
        <v>16</v>
      </c>
      <c r="AA18" s="45" t="s">
        <v>16</v>
      </c>
      <c r="AB18" s="45" t="s">
        <v>16</v>
      </c>
      <c r="AC18" s="45" t="s">
        <v>16</v>
      </c>
      <c r="AD18" s="45" t="s">
        <v>16</v>
      </c>
      <c r="AE18" s="45" t="s">
        <v>16</v>
      </c>
      <c r="AF18" s="45" t="s">
        <v>16</v>
      </c>
      <c r="AG18" s="45" t="s">
        <v>16</v>
      </c>
      <c r="AH18" s="45" t="s">
        <v>16</v>
      </c>
      <c r="AI18" s="45" t="s">
        <v>16</v>
      </c>
    </row>
    <row r="19" spans="1:35" ht="15" customHeight="1" x14ac:dyDescent="0.25">
      <c r="A19" s="41"/>
      <c r="B19" s="42">
        <f>data_diri_siswa!A47</f>
        <v>14501042</v>
      </c>
      <c r="C19" s="43" t="str">
        <f>data_diri_siswa!B47</f>
        <v>FARIZ BACHAR</v>
      </c>
      <c r="D19" s="44"/>
      <c r="E19" s="45"/>
      <c r="F19" s="45"/>
      <c r="G19" s="45"/>
      <c r="H19" s="45"/>
      <c r="I19" s="45"/>
      <c r="J19" s="45"/>
      <c r="K19" s="45"/>
      <c r="L19" s="45" t="s">
        <v>16</v>
      </c>
      <c r="M19" s="45" t="s">
        <v>16</v>
      </c>
      <c r="N19" s="45" t="s">
        <v>16</v>
      </c>
      <c r="O19" s="45" t="s">
        <v>16</v>
      </c>
      <c r="P19" s="45" t="s">
        <v>16</v>
      </c>
      <c r="Q19" s="45" t="s">
        <v>16</v>
      </c>
      <c r="R19" s="45" t="s">
        <v>16</v>
      </c>
      <c r="S19" s="45" t="s">
        <v>16</v>
      </c>
      <c r="T19" s="45" t="s">
        <v>16</v>
      </c>
      <c r="U19" s="45" t="s">
        <v>16</v>
      </c>
      <c r="V19" s="45" t="s">
        <v>16</v>
      </c>
      <c r="W19" s="45" t="s">
        <v>16</v>
      </c>
      <c r="X19" s="45" t="s">
        <v>16</v>
      </c>
      <c r="Y19" s="45" t="s">
        <v>16</v>
      </c>
      <c r="Z19" s="45" t="s">
        <v>16</v>
      </c>
      <c r="AA19" s="45" t="s">
        <v>16</v>
      </c>
      <c r="AB19" s="45" t="s">
        <v>16</v>
      </c>
      <c r="AC19" s="45" t="s">
        <v>16</v>
      </c>
      <c r="AD19" s="45" t="s">
        <v>16</v>
      </c>
      <c r="AE19" s="45" t="s">
        <v>16</v>
      </c>
      <c r="AF19" s="45" t="s">
        <v>16</v>
      </c>
      <c r="AG19" s="45" t="s">
        <v>16</v>
      </c>
      <c r="AH19" s="45" t="s">
        <v>16</v>
      </c>
      <c r="AI19" s="45" t="s">
        <v>16</v>
      </c>
    </row>
    <row r="20" spans="1:35" ht="15" customHeight="1" x14ac:dyDescent="0.25">
      <c r="A20" s="41"/>
      <c r="B20" s="42">
        <f>data_diri_siswa!A48</f>
        <v>14501043</v>
      </c>
      <c r="C20" s="43" t="str">
        <f>data_diri_siswa!B48</f>
        <v>Fitriani</v>
      </c>
      <c r="D20" s="44"/>
      <c r="E20" s="45"/>
      <c r="F20" s="45"/>
      <c r="G20" s="45"/>
      <c r="H20" s="45"/>
      <c r="I20" s="45"/>
      <c r="J20" s="45"/>
      <c r="K20" s="45"/>
      <c r="L20" s="45" t="s">
        <v>16</v>
      </c>
      <c r="M20" s="45" t="s">
        <v>16</v>
      </c>
      <c r="N20" s="45" t="s">
        <v>16</v>
      </c>
      <c r="O20" s="45" t="s">
        <v>16</v>
      </c>
      <c r="P20" s="45" t="s">
        <v>16</v>
      </c>
      <c r="Q20" s="45" t="s">
        <v>16</v>
      </c>
      <c r="R20" s="45" t="s">
        <v>16</v>
      </c>
      <c r="S20" s="45" t="s">
        <v>16</v>
      </c>
      <c r="T20" s="45" t="s">
        <v>16</v>
      </c>
      <c r="U20" s="45" t="s">
        <v>16</v>
      </c>
      <c r="V20" s="45" t="s">
        <v>16</v>
      </c>
      <c r="W20" s="45" t="s">
        <v>16</v>
      </c>
      <c r="X20" s="45" t="s">
        <v>16</v>
      </c>
      <c r="Y20" s="45" t="s">
        <v>16</v>
      </c>
      <c r="Z20" s="45" t="s">
        <v>16</v>
      </c>
      <c r="AA20" s="45" t="s">
        <v>16</v>
      </c>
      <c r="AB20" s="45" t="s">
        <v>16</v>
      </c>
      <c r="AC20" s="45" t="s">
        <v>16</v>
      </c>
      <c r="AD20" s="45" t="s">
        <v>16</v>
      </c>
      <c r="AE20" s="45" t="s">
        <v>16</v>
      </c>
      <c r="AF20" s="45" t="s">
        <v>16</v>
      </c>
      <c r="AG20" s="45" t="s">
        <v>16</v>
      </c>
      <c r="AH20" s="45" t="s">
        <v>16</v>
      </c>
      <c r="AI20" s="45" t="s">
        <v>16</v>
      </c>
    </row>
    <row r="21" spans="1:35" ht="15" customHeight="1" x14ac:dyDescent="0.25">
      <c r="A21" s="41"/>
      <c r="B21" s="42">
        <f>data_diri_siswa!A49</f>
        <v>14501044</v>
      </c>
      <c r="C21" s="43" t="str">
        <f>data_diri_siswa!B49</f>
        <v>HANNISA NUR ILMI</v>
      </c>
      <c r="D21" s="44"/>
      <c r="E21" s="45"/>
      <c r="F21" s="45"/>
      <c r="G21" s="45"/>
      <c r="H21" s="45"/>
      <c r="I21" s="45"/>
      <c r="J21" s="45"/>
      <c r="K21" s="45"/>
      <c r="L21" s="45" t="s">
        <v>16</v>
      </c>
      <c r="M21" s="45" t="s">
        <v>16</v>
      </c>
      <c r="N21" s="45" t="s">
        <v>16</v>
      </c>
      <c r="O21" s="45" t="s">
        <v>16</v>
      </c>
      <c r="P21" s="45" t="s">
        <v>16</v>
      </c>
      <c r="Q21" s="45" t="s">
        <v>16</v>
      </c>
      <c r="R21" s="45" t="s">
        <v>16</v>
      </c>
      <c r="S21" s="45" t="s">
        <v>16</v>
      </c>
      <c r="T21" s="45" t="s">
        <v>16</v>
      </c>
      <c r="U21" s="45" t="s">
        <v>16</v>
      </c>
      <c r="V21" s="45" t="s">
        <v>16</v>
      </c>
      <c r="W21" s="45" t="s">
        <v>16</v>
      </c>
      <c r="X21" s="45" t="s">
        <v>16</v>
      </c>
      <c r="Y21" s="45" t="s">
        <v>16</v>
      </c>
      <c r="Z21" s="45" t="s">
        <v>16</v>
      </c>
      <c r="AA21" s="45" t="s">
        <v>16</v>
      </c>
      <c r="AB21" s="45" t="s">
        <v>16</v>
      </c>
      <c r="AC21" s="45" t="s">
        <v>16</v>
      </c>
      <c r="AD21" s="45" t="s">
        <v>16</v>
      </c>
      <c r="AE21" s="45" t="s">
        <v>16</v>
      </c>
      <c r="AF21" s="45" t="s">
        <v>16</v>
      </c>
      <c r="AG21" s="45" t="s">
        <v>16</v>
      </c>
      <c r="AH21" s="45" t="s">
        <v>16</v>
      </c>
      <c r="AI21" s="45" t="s">
        <v>16</v>
      </c>
    </row>
    <row r="22" spans="1:35" ht="15" customHeight="1" x14ac:dyDescent="0.25">
      <c r="A22" s="41"/>
      <c r="B22" s="42">
        <f>data_diri_siswa!A50</f>
        <v>14501045</v>
      </c>
      <c r="C22" s="43" t="str">
        <f>data_diri_siswa!B50</f>
        <v>INDRA SAHRUL</v>
      </c>
      <c r="D22" s="44"/>
      <c r="E22" s="45"/>
      <c r="F22" s="45"/>
      <c r="G22" s="45"/>
      <c r="H22" s="45"/>
      <c r="I22" s="45"/>
      <c r="J22" s="45"/>
      <c r="K22" s="45"/>
      <c r="L22" s="45" t="s">
        <v>16</v>
      </c>
      <c r="M22" s="45" t="s">
        <v>16</v>
      </c>
      <c r="N22" s="45" t="s">
        <v>16</v>
      </c>
      <c r="O22" s="45" t="s">
        <v>16</v>
      </c>
      <c r="P22" s="45" t="s">
        <v>16</v>
      </c>
      <c r="Q22" s="45" t="s">
        <v>16</v>
      </c>
      <c r="R22" s="45" t="s">
        <v>16</v>
      </c>
      <c r="S22" s="45" t="s">
        <v>16</v>
      </c>
      <c r="T22" s="45" t="s">
        <v>16</v>
      </c>
      <c r="U22" s="45" t="s">
        <v>16</v>
      </c>
      <c r="V22" s="45" t="s">
        <v>16</v>
      </c>
      <c r="W22" s="45" t="s">
        <v>16</v>
      </c>
      <c r="X22" s="45" t="s">
        <v>16</v>
      </c>
      <c r="Y22" s="45" t="s">
        <v>16</v>
      </c>
      <c r="Z22" s="45" t="s">
        <v>16</v>
      </c>
      <c r="AA22" s="45" t="s">
        <v>16</v>
      </c>
      <c r="AB22" s="45" t="s">
        <v>16</v>
      </c>
      <c r="AC22" s="45" t="s">
        <v>16</v>
      </c>
      <c r="AD22" s="45" t="s">
        <v>16</v>
      </c>
      <c r="AE22" s="45" t="s">
        <v>16</v>
      </c>
      <c r="AF22" s="45" t="s">
        <v>16</v>
      </c>
      <c r="AG22" s="45" t="s">
        <v>16</v>
      </c>
      <c r="AH22" s="45" t="s">
        <v>16</v>
      </c>
      <c r="AI22" s="45" t="s">
        <v>16</v>
      </c>
    </row>
    <row r="23" spans="1:35" ht="15" customHeight="1" x14ac:dyDescent="0.25">
      <c r="A23" s="41"/>
      <c r="B23" s="42">
        <f>data_diri_siswa!A51</f>
        <v>14501046</v>
      </c>
      <c r="C23" s="43" t="str">
        <f>data_diri_siswa!B51</f>
        <v>Ipan Kurniawan</v>
      </c>
      <c r="D23" s="44"/>
      <c r="E23" s="45"/>
      <c r="F23" s="45"/>
      <c r="G23" s="45"/>
      <c r="H23" s="45"/>
      <c r="I23" s="45"/>
      <c r="J23" s="45"/>
      <c r="K23" s="45"/>
      <c r="L23" s="45" t="s">
        <v>16</v>
      </c>
      <c r="M23" s="45" t="s">
        <v>16</v>
      </c>
      <c r="N23" s="45" t="s">
        <v>16</v>
      </c>
      <c r="O23" s="45" t="s">
        <v>16</v>
      </c>
      <c r="P23" s="45" t="s">
        <v>16</v>
      </c>
      <c r="Q23" s="45" t="s">
        <v>16</v>
      </c>
      <c r="R23" s="45" t="s">
        <v>16</v>
      </c>
      <c r="S23" s="45" t="s">
        <v>16</v>
      </c>
      <c r="T23" s="45" t="s">
        <v>16</v>
      </c>
      <c r="U23" s="45" t="s">
        <v>16</v>
      </c>
      <c r="V23" s="45" t="s">
        <v>16</v>
      </c>
      <c r="W23" s="45" t="s">
        <v>16</v>
      </c>
      <c r="X23" s="45" t="s">
        <v>16</v>
      </c>
      <c r="Y23" s="45" t="s">
        <v>16</v>
      </c>
      <c r="Z23" s="45" t="s">
        <v>16</v>
      </c>
      <c r="AA23" s="45" t="s">
        <v>16</v>
      </c>
      <c r="AB23" s="45" t="s">
        <v>16</v>
      </c>
      <c r="AC23" s="45" t="s">
        <v>16</v>
      </c>
      <c r="AD23" s="45" t="s">
        <v>16</v>
      </c>
      <c r="AE23" s="45" t="s">
        <v>16</v>
      </c>
      <c r="AF23" s="45" t="s">
        <v>16</v>
      </c>
      <c r="AG23" s="45" t="s">
        <v>16</v>
      </c>
      <c r="AH23" s="45" t="s">
        <v>16</v>
      </c>
      <c r="AI23" s="45" t="s">
        <v>16</v>
      </c>
    </row>
    <row r="24" spans="1:35" ht="15" customHeight="1" x14ac:dyDescent="0.25">
      <c r="A24" s="41"/>
      <c r="B24" s="42">
        <f>data_diri_siswa!A52</f>
        <v>14501047</v>
      </c>
      <c r="C24" s="43" t="str">
        <f>data_diri_siswa!B52</f>
        <v>JALU MAULANA ISMAYA</v>
      </c>
      <c r="D24" s="44"/>
      <c r="E24" s="45"/>
      <c r="F24" s="45"/>
      <c r="G24" s="45"/>
      <c r="H24" s="45"/>
      <c r="I24" s="45"/>
      <c r="J24" s="45"/>
      <c r="K24" s="45"/>
      <c r="L24" s="45" t="s">
        <v>16</v>
      </c>
      <c r="M24" s="45" t="s">
        <v>16</v>
      </c>
      <c r="N24" s="45" t="s">
        <v>16</v>
      </c>
      <c r="O24" s="45" t="s">
        <v>16</v>
      </c>
      <c r="P24" s="45" t="s">
        <v>16</v>
      </c>
      <c r="Q24" s="45" t="s">
        <v>16</v>
      </c>
      <c r="R24" s="45" t="s">
        <v>16</v>
      </c>
      <c r="S24" s="45" t="s">
        <v>16</v>
      </c>
      <c r="T24" s="45" t="s">
        <v>16</v>
      </c>
      <c r="U24" s="45" t="s">
        <v>16</v>
      </c>
      <c r="V24" s="45" t="s">
        <v>16</v>
      </c>
      <c r="W24" s="45" t="s">
        <v>16</v>
      </c>
      <c r="X24" s="45" t="s">
        <v>16</v>
      </c>
      <c r="Y24" s="45" t="s">
        <v>16</v>
      </c>
      <c r="Z24" s="45" t="s">
        <v>16</v>
      </c>
      <c r="AA24" s="45" t="s">
        <v>16</v>
      </c>
      <c r="AB24" s="45" t="s">
        <v>16</v>
      </c>
      <c r="AC24" s="45" t="s">
        <v>16</v>
      </c>
      <c r="AD24" s="45" t="s">
        <v>16</v>
      </c>
      <c r="AE24" s="45" t="s">
        <v>16</v>
      </c>
      <c r="AF24" s="45" t="s">
        <v>16</v>
      </c>
      <c r="AG24" s="45" t="s">
        <v>16</v>
      </c>
      <c r="AH24" s="45" t="s">
        <v>16</v>
      </c>
      <c r="AI24" s="45" t="s">
        <v>16</v>
      </c>
    </row>
    <row r="25" spans="1:35" ht="15" customHeight="1" x14ac:dyDescent="0.25">
      <c r="A25" s="41"/>
      <c r="B25" s="42">
        <f>data_diri_siswa!A53</f>
        <v>14501048</v>
      </c>
      <c r="C25" s="43" t="str">
        <f>data_diri_siswa!B53</f>
        <v>KIKI KURNIAWAN</v>
      </c>
      <c r="D25" s="44"/>
      <c r="E25" s="45"/>
      <c r="F25" s="45"/>
      <c r="G25" s="45"/>
      <c r="H25" s="45"/>
      <c r="I25" s="45"/>
      <c r="J25" s="45"/>
      <c r="K25" s="45"/>
      <c r="L25" s="45" t="s">
        <v>16</v>
      </c>
      <c r="M25" s="45" t="s">
        <v>16</v>
      </c>
      <c r="N25" s="45" t="s">
        <v>16</v>
      </c>
      <c r="O25" s="45" t="s">
        <v>16</v>
      </c>
      <c r="P25" s="45" t="s">
        <v>16</v>
      </c>
      <c r="Q25" s="45" t="s">
        <v>16</v>
      </c>
      <c r="R25" s="45" t="s">
        <v>16</v>
      </c>
      <c r="S25" s="45" t="s">
        <v>16</v>
      </c>
      <c r="T25" s="45" t="s">
        <v>16</v>
      </c>
      <c r="U25" s="45" t="s">
        <v>16</v>
      </c>
      <c r="V25" s="45" t="s">
        <v>16</v>
      </c>
      <c r="W25" s="45" t="s">
        <v>16</v>
      </c>
      <c r="X25" s="45" t="s">
        <v>16</v>
      </c>
      <c r="Y25" s="45" t="s">
        <v>16</v>
      </c>
      <c r="Z25" s="45" t="s">
        <v>16</v>
      </c>
      <c r="AA25" s="45" t="s">
        <v>16</v>
      </c>
      <c r="AB25" s="45" t="s">
        <v>16</v>
      </c>
      <c r="AC25" s="45" t="s">
        <v>16</v>
      </c>
      <c r="AD25" s="45" t="s">
        <v>16</v>
      </c>
      <c r="AE25" s="45" t="s">
        <v>16</v>
      </c>
      <c r="AF25" s="45" t="s">
        <v>16</v>
      </c>
      <c r="AG25" s="45" t="s">
        <v>16</v>
      </c>
      <c r="AH25" s="45" t="s">
        <v>16</v>
      </c>
      <c r="AI25" s="45" t="s">
        <v>16</v>
      </c>
    </row>
    <row r="26" spans="1:35" ht="15" customHeight="1" x14ac:dyDescent="0.25">
      <c r="A26" s="41"/>
      <c r="B26" s="42">
        <f>data_diri_siswa!A54</f>
        <v>14501049</v>
      </c>
      <c r="C26" s="43" t="str">
        <f>data_diri_siswa!B54</f>
        <v>MUHAMAD IRFAN TRYAN HAFID</v>
      </c>
      <c r="D26" s="44"/>
      <c r="E26" s="45"/>
      <c r="F26" s="45"/>
      <c r="G26" s="45"/>
      <c r="H26" s="45"/>
      <c r="I26" s="45"/>
      <c r="J26" s="45"/>
      <c r="K26" s="45"/>
      <c r="L26" s="45" t="s">
        <v>16</v>
      </c>
      <c r="M26" s="45" t="s">
        <v>16</v>
      </c>
      <c r="N26" s="45" t="s">
        <v>16</v>
      </c>
      <c r="O26" s="45" t="s">
        <v>16</v>
      </c>
      <c r="P26" s="45" t="s">
        <v>16</v>
      </c>
      <c r="Q26" s="45" t="s">
        <v>16</v>
      </c>
      <c r="R26" s="45" t="s">
        <v>16</v>
      </c>
      <c r="S26" s="45" t="s">
        <v>16</v>
      </c>
      <c r="T26" s="45" t="s">
        <v>16</v>
      </c>
      <c r="U26" s="45" t="s">
        <v>16</v>
      </c>
      <c r="V26" s="45" t="s">
        <v>16</v>
      </c>
      <c r="W26" s="45" t="s">
        <v>16</v>
      </c>
      <c r="X26" s="45" t="s">
        <v>16</v>
      </c>
      <c r="Y26" s="45" t="s">
        <v>16</v>
      </c>
      <c r="Z26" s="45" t="s">
        <v>16</v>
      </c>
      <c r="AA26" s="45" t="s">
        <v>16</v>
      </c>
      <c r="AB26" s="45" t="s">
        <v>16</v>
      </c>
      <c r="AC26" s="45" t="s">
        <v>16</v>
      </c>
      <c r="AD26" s="45" t="s">
        <v>16</v>
      </c>
      <c r="AE26" s="45" t="s">
        <v>16</v>
      </c>
      <c r="AF26" s="45" t="s">
        <v>16</v>
      </c>
      <c r="AG26" s="45" t="s">
        <v>16</v>
      </c>
      <c r="AH26" s="45" t="s">
        <v>16</v>
      </c>
      <c r="AI26" s="45" t="s">
        <v>16</v>
      </c>
    </row>
    <row r="27" spans="1:35" ht="15" customHeight="1" x14ac:dyDescent="0.25">
      <c r="A27" s="41"/>
      <c r="B27" s="42">
        <f>data_diri_siswa!A55</f>
        <v>14501050</v>
      </c>
      <c r="C27" s="43" t="str">
        <f>data_diri_siswa!B55</f>
        <v>NINA ROSMAWATI</v>
      </c>
      <c r="D27" s="44"/>
      <c r="E27" s="45"/>
      <c r="F27" s="45"/>
      <c r="G27" s="45"/>
      <c r="H27" s="45"/>
      <c r="I27" s="45"/>
      <c r="J27" s="45"/>
      <c r="K27" s="45"/>
      <c r="L27" s="45" t="s">
        <v>16</v>
      </c>
      <c r="M27" s="45" t="s">
        <v>16</v>
      </c>
      <c r="N27" s="45" t="s">
        <v>16</v>
      </c>
      <c r="O27" s="45" t="s">
        <v>16</v>
      </c>
      <c r="P27" s="45" t="s">
        <v>16</v>
      </c>
      <c r="Q27" s="45" t="s">
        <v>16</v>
      </c>
      <c r="R27" s="45" t="s">
        <v>16</v>
      </c>
      <c r="S27" s="45" t="s">
        <v>16</v>
      </c>
      <c r="T27" s="45" t="s">
        <v>16</v>
      </c>
      <c r="U27" s="45" t="s">
        <v>16</v>
      </c>
      <c r="V27" s="45" t="s">
        <v>16</v>
      </c>
      <c r="W27" s="45" t="s">
        <v>16</v>
      </c>
      <c r="X27" s="45" t="s">
        <v>16</v>
      </c>
      <c r="Y27" s="45" t="s">
        <v>16</v>
      </c>
      <c r="Z27" s="45" t="s">
        <v>16</v>
      </c>
      <c r="AA27" s="45" t="s">
        <v>16</v>
      </c>
      <c r="AB27" s="45" t="s">
        <v>16</v>
      </c>
      <c r="AC27" s="45" t="s">
        <v>16</v>
      </c>
      <c r="AD27" s="45" t="s">
        <v>16</v>
      </c>
      <c r="AE27" s="45" t="s">
        <v>16</v>
      </c>
      <c r="AF27" s="45" t="s">
        <v>16</v>
      </c>
      <c r="AG27" s="45" t="s">
        <v>16</v>
      </c>
      <c r="AH27" s="45" t="s">
        <v>16</v>
      </c>
      <c r="AI27" s="45" t="s">
        <v>16</v>
      </c>
    </row>
    <row r="28" spans="1:35" ht="15" customHeight="1" x14ac:dyDescent="0.25">
      <c r="A28" s="41"/>
      <c r="B28" s="42">
        <f>data_diri_siswa!A56</f>
        <v>14501051</v>
      </c>
      <c r="C28" s="43" t="str">
        <f>data_diri_siswa!B56</f>
        <v>RD. GANDHARA AZFA A.K</v>
      </c>
      <c r="D28" s="44" t="s">
        <v>124</v>
      </c>
      <c r="E28" s="45"/>
      <c r="F28" s="45"/>
      <c r="G28" s="45"/>
      <c r="H28" s="45"/>
      <c r="I28" s="45"/>
      <c r="J28" s="45"/>
      <c r="K28" s="45"/>
      <c r="L28" s="45" t="s">
        <v>16</v>
      </c>
      <c r="M28" s="45" t="s">
        <v>16</v>
      </c>
      <c r="N28" s="45" t="s">
        <v>16</v>
      </c>
      <c r="O28" s="45" t="s">
        <v>16</v>
      </c>
      <c r="P28" s="45" t="s">
        <v>16</v>
      </c>
      <c r="Q28" s="45" t="s">
        <v>16</v>
      </c>
      <c r="R28" s="45" t="s">
        <v>16</v>
      </c>
      <c r="S28" s="45" t="s">
        <v>16</v>
      </c>
      <c r="T28" s="45" t="s">
        <v>16</v>
      </c>
      <c r="U28" s="45" t="s">
        <v>16</v>
      </c>
      <c r="V28" s="45" t="s">
        <v>16</v>
      </c>
      <c r="W28" s="45" t="s">
        <v>16</v>
      </c>
      <c r="X28" s="45" t="s">
        <v>16</v>
      </c>
      <c r="Y28" s="45" t="s">
        <v>16</v>
      </c>
      <c r="Z28" s="45" t="s">
        <v>16</v>
      </c>
      <c r="AA28" s="45" t="s">
        <v>16</v>
      </c>
      <c r="AB28" s="45" t="s">
        <v>16</v>
      </c>
      <c r="AC28" s="45" t="s">
        <v>16</v>
      </c>
      <c r="AD28" s="45" t="s">
        <v>16</v>
      </c>
      <c r="AE28" s="45" t="s">
        <v>16</v>
      </c>
      <c r="AF28" s="45" t="s">
        <v>16</v>
      </c>
      <c r="AG28" s="45" t="s">
        <v>16</v>
      </c>
      <c r="AH28" s="45" t="s">
        <v>16</v>
      </c>
      <c r="AI28" s="45" t="s">
        <v>16</v>
      </c>
    </row>
    <row r="29" spans="1:35" ht="15" customHeight="1" x14ac:dyDescent="0.25">
      <c r="A29" s="41"/>
      <c r="B29" s="42">
        <f>data_diri_siswa!A57</f>
        <v>14501052</v>
      </c>
      <c r="C29" s="43" t="str">
        <f>data_diri_siswa!B57</f>
        <v>RIKA WULAN SARI</v>
      </c>
      <c r="D29" s="44"/>
      <c r="E29" s="45"/>
      <c r="F29" s="45"/>
      <c r="G29" s="45"/>
      <c r="H29" s="45"/>
      <c r="I29" s="45"/>
      <c r="J29" s="45"/>
      <c r="K29" s="45"/>
      <c r="L29" s="45" t="s">
        <v>16</v>
      </c>
      <c r="M29" s="45" t="s">
        <v>16</v>
      </c>
      <c r="N29" s="45" t="s">
        <v>16</v>
      </c>
      <c r="O29" s="45" t="s">
        <v>16</v>
      </c>
      <c r="P29" s="45" t="s">
        <v>16</v>
      </c>
      <c r="Q29" s="45" t="s">
        <v>16</v>
      </c>
      <c r="R29" s="45" t="s">
        <v>16</v>
      </c>
      <c r="S29" s="45" t="s">
        <v>16</v>
      </c>
      <c r="T29" s="45" t="s">
        <v>16</v>
      </c>
      <c r="U29" s="45" t="s">
        <v>16</v>
      </c>
      <c r="V29" s="45" t="s">
        <v>16</v>
      </c>
      <c r="W29" s="45" t="s">
        <v>16</v>
      </c>
      <c r="X29" s="45" t="s">
        <v>16</v>
      </c>
      <c r="Y29" s="45" t="s">
        <v>16</v>
      </c>
      <c r="Z29" s="45" t="s">
        <v>16</v>
      </c>
      <c r="AA29" s="45" t="s">
        <v>16</v>
      </c>
      <c r="AB29" s="45" t="s">
        <v>16</v>
      </c>
      <c r="AC29" s="45" t="s">
        <v>16</v>
      </c>
      <c r="AD29" s="45" t="s">
        <v>16</v>
      </c>
      <c r="AE29" s="45" t="s">
        <v>16</v>
      </c>
      <c r="AF29" s="45" t="s">
        <v>16</v>
      </c>
      <c r="AG29" s="45" t="s">
        <v>16</v>
      </c>
      <c r="AH29" s="45" t="s">
        <v>16</v>
      </c>
      <c r="AI29" s="45" t="s">
        <v>16</v>
      </c>
    </row>
    <row r="30" spans="1:35" ht="15" customHeight="1" x14ac:dyDescent="0.25">
      <c r="A30" s="41"/>
      <c r="B30" s="42">
        <f>data_diri_siswa!A58</f>
        <v>14501053</v>
      </c>
      <c r="C30" s="43" t="str">
        <f>data_diri_siswa!B58</f>
        <v>RIKI FIRMANSYAH</v>
      </c>
      <c r="D30" s="44"/>
      <c r="E30" s="45"/>
      <c r="F30" s="45"/>
      <c r="G30" s="45"/>
      <c r="H30" s="45"/>
      <c r="I30" s="45"/>
      <c r="J30" s="45"/>
      <c r="K30" s="45"/>
      <c r="L30" s="45" t="s">
        <v>16</v>
      </c>
      <c r="M30" s="45" t="s">
        <v>16</v>
      </c>
      <c r="N30" s="45" t="s">
        <v>16</v>
      </c>
      <c r="O30" s="45" t="s">
        <v>16</v>
      </c>
      <c r="P30" s="45" t="s">
        <v>16</v>
      </c>
      <c r="Q30" s="45" t="s">
        <v>16</v>
      </c>
      <c r="R30" s="45" t="s">
        <v>16</v>
      </c>
      <c r="S30" s="45" t="s">
        <v>16</v>
      </c>
      <c r="T30" s="45" t="s">
        <v>16</v>
      </c>
      <c r="U30" s="45" t="s">
        <v>16</v>
      </c>
      <c r="V30" s="45" t="s">
        <v>16</v>
      </c>
      <c r="W30" s="45" t="s">
        <v>16</v>
      </c>
      <c r="X30" s="45" t="s">
        <v>16</v>
      </c>
      <c r="Y30" s="45" t="s">
        <v>16</v>
      </c>
      <c r="Z30" s="45" t="s">
        <v>16</v>
      </c>
      <c r="AA30" s="45" t="s">
        <v>16</v>
      </c>
      <c r="AB30" s="45" t="s">
        <v>16</v>
      </c>
      <c r="AC30" s="45" t="s">
        <v>16</v>
      </c>
      <c r="AD30" s="45" t="s">
        <v>16</v>
      </c>
      <c r="AE30" s="45" t="s">
        <v>16</v>
      </c>
      <c r="AF30" s="45" t="s">
        <v>16</v>
      </c>
      <c r="AG30" s="45" t="s">
        <v>16</v>
      </c>
      <c r="AH30" s="45" t="s">
        <v>16</v>
      </c>
      <c r="AI30" s="45" t="s">
        <v>16</v>
      </c>
    </row>
    <row r="31" spans="1:35" ht="15" customHeight="1" x14ac:dyDescent="0.25">
      <c r="A31" s="41"/>
      <c r="B31" s="42">
        <f>data_diri_siswa!A59</f>
        <v>14501054</v>
      </c>
      <c r="C31" s="43" t="str">
        <f>data_diri_siswa!B59</f>
        <v>RIZKI KEMAL PRATAMA</v>
      </c>
      <c r="D31" s="44"/>
      <c r="E31" s="45"/>
      <c r="F31" s="45"/>
      <c r="G31" s="45"/>
      <c r="H31" s="45"/>
      <c r="I31" s="45"/>
      <c r="J31" s="45"/>
      <c r="K31" s="45"/>
      <c r="L31" s="45" t="s">
        <v>16</v>
      </c>
      <c r="M31" s="45" t="s">
        <v>16</v>
      </c>
      <c r="N31" s="45" t="s">
        <v>16</v>
      </c>
      <c r="O31" s="45" t="s">
        <v>16</v>
      </c>
      <c r="P31" s="45" t="s">
        <v>16</v>
      </c>
      <c r="Q31" s="45" t="s">
        <v>16</v>
      </c>
      <c r="R31" s="45" t="s">
        <v>16</v>
      </c>
      <c r="S31" s="45" t="s">
        <v>16</v>
      </c>
      <c r="T31" s="45" t="s">
        <v>16</v>
      </c>
      <c r="U31" s="45" t="s">
        <v>16</v>
      </c>
      <c r="V31" s="45" t="s">
        <v>16</v>
      </c>
      <c r="W31" s="45" t="s">
        <v>16</v>
      </c>
      <c r="X31" s="45" t="s">
        <v>16</v>
      </c>
      <c r="Y31" s="45" t="s">
        <v>16</v>
      </c>
      <c r="Z31" s="45" t="s">
        <v>16</v>
      </c>
      <c r="AA31" s="45" t="s">
        <v>16</v>
      </c>
      <c r="AB31" s="45" t="s">
        <v>16</v>
      </c>
      <c r="AC31" s="45" t="s">
        <v>16</v>
      </c>
      <c r="AD31" s="45" t="s">
        <v>16</v>
      </c>
      <c r="AE31" s="45" t="s">
        <v>16</v>
      </c>
      <c r="AF31" s="45" t="s">
        <v>16</v>
      </c>
      <c r="AG31" s="45" t="s">
        <v>16</v>
      </c>
      <c r="AH31" s="45" t="s">
        <v>16</v>
      </c>
      <c r="AI31" s="45" t="s">
        <v>16</v>
      </c>
    </row>
    <row r="32" spans="1:35" ht="15" customHeight="1" x14ac:dyDescent="0.25">
      <c r="A32" s="41"/>
      <c r="B32" s="42">
        <f>data_diri_siswa!A60</f>
        <v>14501055</v>
      </c>
      <c r="C32" s="43" t="str">
        <f>data_diri_siswa!B60</f>
        <v>RIZQI FAJRIL HADI</v>
      </c>
      <c r="D32" s="44"/>
      <c r="E32" s="45"/>
      <c r="F32" s="45"/>
      <c r="G32" s="45"/>
      <c r="H32" s="45"/>
      <c r="I32" s="45"/>
      <c r="J32" s="45"/>
      <c r="K32" s="45"/>
      <c r="L32" s="45" t="s">
        <v>16</v>
      </c>
      <c r="M32" s="45" t="s">
        <v>16</v>
      </c>
      <c r="N32" s="45" t="s">
        <v>16</v>
      </c>
      <c r="O32" s="45" t="s">
        <v>16</v>
      </c>
      <c r="P32" s="45" t="s">
        <v>16</v>
      </c>
      <c r="Q32" s="45" t="s">
        <v>16</v>
      </c>
      <c r="R32" s="45" t="s">
        <v>16</v>
      </c>
      <c r="S32" s="45" t="s">
        <v>16</v>
      </c>
      <c r="T32" s="45" t="s">
        <v>16</v>
      </c>
      <c r="U32" s="45" t="s">
        <v>16</v>
      </c>
      <c r="V32" s="45" t="s">
        <v>16</v>
      </c>
      <c r="W32" s="45" t="s">
        <v>16</v>
      </c>
      <c r="X32" s="45" t="s">
        <v>16</v>
      </c>
      <c r="Y32" s="45" t="s">
        <v>16</v>
      </c>
      <c r="Z32" s="45" t="s">
        <v>16</v>
      </c>
      <c r="AA32" s="45" t="s">
        <v>16</v>
      </c>
      <c r="AB32" s="45" t="s">
        <v>16</v>
      </c>
      <c r="AC32" s="45" t="s">
        <v>16</v>
      </c>
      <c r="AD32" s="45" t="s">
        <v>16</v>
      </c>
      <c r="AE32" s="45" t="s">
        <v>16</v>
      </c>
      <c r="AF32" s="45" t="s">
        <v>16</v>
      </c>
      <c r="AG32" s="45" t="s">
        <v>16</v>
      </c>
      <c r="AH32" s="45" t="s">
        <v>16</v>
      </c>
      <c r="AI32" s="45" t="s">
        <v>16</v>
      </c>
    </row>
    <row r="33" spans="1:35" ht="15" customHeight="1" x14ac:dyDescent="0.25">
      <c r="A33" s="41"/>
      <c r="B33" s="42">
        <f>data_diri_siswa!A61</f>
        <v>14501056</v>
      </c>
      <c r="C33" s="43" t="str">
        <f>data_diri_siswa!B61</f>
        <v>SAIFUL RAHMAN</v>
      </c>
      <c r="D33" s="44"/>
      <c r="E33" s="45"/>
      <c r="F33" s="45"/>
      <c r="G33" s="45"/>
      <c r="H33" s="45"/>
      <c r="I33" s="45"/>
      <c r="J33" s="45"/>
      <c r="K33" s="45"/>
      <c r="L33" s="45" t="s">
        <v>16</v>
      </c>
      <c r="M33" s="45" t="s">
        <v>16</v>
      </c>
      <c r="N33" s="45" t="s">
        <v>16</v>
      </c>
      <c r="O33" s="45" t="s">
        <v>16</v>
      </c>
      <c r="P33" s="45" t="s">
        <v>16</v>
      </c>
      <c r="Q33" s="45" t="s">
        <v>16</v>
      </c>
      <c r="R33" s="45" t="s">
        <v>16</v>
      </c>
      <c r="S33" s="45" t="s">
        <v>16</v>
      </c>
      <c r="T33" s="45" t="s">
        <v>16</v>
      </c>
      <c r="U33" s="45" t="s">
        <v>16</v>
      </c>
      <c r="V33" s="45" t="s">
        <v>16</v>
      </c>
      <c r="W33" s="45" t="s">
        <v>16</v>
      </c>
      <c r="X33" s="45" t="s">
        <v>16</v>
      </c>
      <c r="Y33" s="45" t="s">
        <v>16</v>
      </c>
      <c r="Z33" s="45" t="s">
        <v>16</v>
      </c>
      <c r="AA33" s="45" t="s">
        <v>16</v>
      </c>
      <c r="AB33" s="45" t="s">
        <v>16</v>
      </c>
      <c r="AC33" s="45" t="s">
        <v>16</v>
      </c>
      <c r="AD33" s="45" t="s">
        <v>16</v>
      </c>
      <c r="AE33" s="45" t="s">
        <v>16</v>
      </c>
      <c r="AF33" s="45" t="s">
        <v>16</v>
      </c>
      <c r="AG33" s="45" t="s">
        <v>16</v>
      </c>
      <c r="AH33" s="45" t="s">
        <v>16</v>
      </c>
      <c r="AI33" s="45" t="s">
        <v>16</v>
      </c>
    </row>
    <row r="34" spans="1:35" ht="15" customHeight="1" x14ac:dyDescent="0.25">
      <c r="A34" s="41"/>
      <c r="B34" s="42">
        <f>data_diri_siswa!A62</f>
        <v>14501057</v>
      </c>
      <c r="C34" s="43" t="str">
        <f>data_diri_siswa!B62</f>
        <v>Shifa Nurfadillah</v>
      </c>
      <c r="D34" s="44"/>
      <c r="E34" s="45"/>
      <c r="F34" s="45"/>
      <c r="G34" s="45"/>
      <c r="H34" s="45"/>
      <c r="I34" s="45"/>
      <c r="J34" s="45"/>
      <c r="K34" s="45"/>
      <c r="L34" s="45" t="s">
        <v>16</v>
      </c>
      <c r="M34" s="45" t="s">
        <v>16</v>
      </c>
      <c r="N34" s="45" t="s">
        <v>16</v>
      </c>
      <c r="O34" s="45" t="s">
        <v>16</v>
      </c>
      <c r="P34" s="45" t="s">
        <v>16</v>
      </c>
      <c r="Q34" s="45" t="s">
        <v>16</v>
      </c>
      <c r="R34" s="45" t="s">
        <v>16</v>
      </c>
      <c r="S34" s="45" t="s">
        <v>16</v>
      </c>
      <c r="T34" s="45" t="s">
        <v>16</v>
      </c>
      <c r="U34" s="45" t="s">
        <v>16</v>
      </c>
      <c r="V34" s="45" t="s">
        <v>16</v>
      </c>
      <c r="W34" s="45" t="s">
        <v>16</v>
      </c>
      <c r="X34" s="45" t="s">
        <v>16</v>
      </c>
      <c r="Y34" s="45" t="s">
        <v>16</v>
      </c>
      <c r="Z34" s="45" t="s">
        <v>16</v>
      </c>
      <c r="AA34" s="45" t="s">
        <v>16</v>
      </c>
      <c r="AB34" s="45" t="s">
        <v>16</v>
      </c>
      <c r="AC34" s="45" t="s">
        <v>16</v>
      </c>
      <c r="AD34" s="45" t="s">
        <v>16</v>
      </c>
      <c r="AE34" s="45" t="s">
        <v>16</v>
      </c>
      <c r="AF34" s="45" t="s">
        <v>16</v>
      </c>
      <c r="AG34" s="45" t="s">
        <v>16</v>
      </c>
      <c r="AH34" s="45" t="s">
        <v>16</v>
      </c>
      <c r="AI34" s="45" t="s">
        <v>16</v>
      </c>
    </row>
    <row r="35" spans="1:35" ht="15" customHeight="1" x14ac:dyDescent="0.25">
      <c r="A35" s="41"/>
      <c r="B35" s="42">
        <f>data_diri_siswa!A63</f>
        <v>14501058</v>
      </c>
      <c r="C35" s="43" t="str">
        <f>data_diri_siswa!B63</f>
        <v>SITI NURAENI</v>
      </c>
      <c r="D35" s="44"/>
      <c r="E35" s="45"/>
      <c r="F35" s="45"/>
      <c r="G35" s="45"/>
      <c r="H35" s="45"/>
      <c r="I35" s="45"/>
      <c r="J35" s="45"/>
      <c r="K35" s="45"/>
      <c r="L35" s="45" t="s">
        <v>16</v>
      </c>
      <c r="M35" s="45" t="s">
        <v>16</v>
      </c>
      <c r="N35" s="45" t="s">
        <v>16</v>
      </c>
      <c r="O35" s="45" t="s">
        <v>16</v>
      </c>
      <c r="P35" s="45" t="s">
        <v>16</v>
      </c>
      <c r="Q35" s="45" t="s">
        <v>16</v>
      </c>
      <c r="R35" s="45" t="s">
        <v>16</v>
      </c>
      <c r="S35" s="45" t="s">
        <v>16</v>
      </c>
      <c r="T35" s="45" t="s">
        <v>16</v>
      </c>
      <c r="U35" s="45" t="s">
        <v>16</v>
      </c>
      <c r="V35" s="45" t="s">
        <v>16</v>
      </c>
      <c r="W35" s="45" t="s">
        <v>16</v>
      </c>
      <c r="X35" s="45" t="s">
        <v>16</v>
      </c>
      <c r="Y35" s="45" t="s">
        <v>16</v>
      </c>
      <c r="Z35" s="45" t="s">
        <v>16</v>
      </c>
      <c r="AA35" s="45" t="s">
        <v>16</v>
      </c>
      <c r="AB35" s="45" t="s">
        <v>16</v>
      </c>
      <c r="AC35" s="45" t="s">
        <v>16</v>
      </c>
      <c r="AD35" s="45" t="s">
        <v>16</v>
      </c>
      <c r="AE35" s="45" t="s">
        <v>16</v>
      </c>
      <c r="AF35" s="45" t="s">
        <v>16</v>
      </c>
      <c r="AG35" s="45" t="s">
        <v>16</v>
      </c>
      <c r="AH35" s="45" t="s">
        <v>16</v>
      </c>
      <c r="AI35" s="45" t="s">
        <v>16</v>
      </c>
    </row>
    <row r="36" spans="1:35" ht="15" customHeight="1" x14ac:dyDescent="0.25">
      <c r="A36" s="41"/>
      <c r="B36" s="42">
        <f>data_diri_siswa!A64</f>
        <v>14501059</v>
      </c>
      <c r="C36" s="43" t="str">
        <f>data_diri_siswa!B64</f>
        <v>Susanti</v>
      </c>
      <c r="D36" s="44"/>
      <c r="E36" s="45"/>
      <c r="F36" s="45"/>
      <c r="G36" s="45"/>
      <c r="H36" s="45"/>
      <c r="I36" s="45"/>
      <c r="J36" s="45"/>
      <c r="K36" s="45"/>
      <c r="L36" s="45" t="s">
        <v>16</v>
      </c>
      <c r="M36" s="45" t="s">
        <v>16</v>
      </c>
      <c r="N36" s="45" t="s">
        <v>16</v>
      </c>
      <c r="O36" s="45" t="s">
        <v>16</v>
      </c>
      <c r="P36" s="45" t="s">
        <v>16</v>
      </c>
      <c r="Q36" s="45" t="s">
        <v>16</v>
      </c>
      <c r="R36" s="45" t="s">
        <v>16</v>
      </c>
      <c r="S36" s="45" t="s">
        <v>16</v>
      </c>
      <c r="T36" s="45" t="s">
        <v>16</v>
      </c>
      <c r="U36" s="45" t="s">
        <v>16</v>
      </c>
      <c r="V36" s="45" t="s">
        <v>16</v>
      </c>
      <c r="W36" s="45" t="s">
        <v>16</v>
      </c>
      <c r="X36" s="45" t="s">
        <v>16</v>
      </c>
      <c r="Y36" s="45" t="s">
        <v>16</v>
      </c>
      <c r="Z36" s="45" t="s">
        <v>16</v>
      </c>
      <c r="AA36" s="45" t="s">
        <v>16</v>
      </c>
      <c r="AB36" s="45" t="s">
        <v>16</v>
      </c>
      <c r="AC36" s="45" t="s">
        <v>16</v>
      </c>
      <c r="AD36" s="45" t="s">
        <v>16</v>
      </c>
      <c r="AE36" s="45" t="s">
        <v>16</v>
      </c>
      <c r="AF36" s="45" t="s">
        <v>16</v>
      </c>
      <c r="AG36" s="45" t="s">
        <v>16</v>
      </c>
      <c r="AH36" s="45" t="s">
        <v>16</v>
      </c>
      <c r="AI36" s="45" t="s">
        <v>16</v>
      </c>
    </row>
    <row r="37" spans="1:35" ht="15" customHeight="1" x14ac:dyDescent="0.25">
      <c r="A37" s="41"/>
      <c r="B37" s="42">
        <f>data_diri_siswa!A65</f>
        <v>14501060</v>
      </c>
      <c r="C37" s="43" t="str">
        <f>data_diri_siswa!B65</f>
        <v>TASYA NUR PERTIWI</v>
      </c>
      <c r="D37" s="44"/>
      <c r="E37" s="45"/>
      <c r="F37" s="45"/>
      <c r="G37" s="45"/>
      <c r="H37" s="45"/>
      <c r="I37" s="45"/>
      <c r="J37" s="45"/>
      <c r="K37" s="45"/>
      <c r="L37" s="45" t="s">
        <v>16</v>
      </c>
      <c r="M37" s="45" t="s">
        <v>16</v>
      </c>
      <c r="N37" s="45" t="s">
        <v>16</v>
      </c>
      <c r="O37" s="45" t="s">
        <v>16</v>
      </c>
      <c r="P37" s="45" t="s">
        <v>16</v>
      </c>
      <c r="Q37" s="45" t="s">
        <v>16</v>
      </c>
      <c r="R37" s="45" t="s">
        <v>16</v>
      </c>
      <c r="S37" s="45" t="s">
        <v>16</v>
      </c>
      <c r="T37" s="45" t="s">
        <v>16</v>
      </c>
      <c r="U37" s="45" t="s">
        <v>16</v>
      </c>
      <c r="V37" s="45" t="s">
        <v>16</v>
      </c>
      <c r="W37" s="45" t="s">
        <v>16</v>
      </c>
      <c r="X37" s="45" t="s">
        <v>16</v>
      </c>
      <c r="Y37" s="45" t="s">
        <v>16</v>
      </c>
      <c r="Z37" s="45" t="s">
        <v>16</v>
      </c>
      <c r="AA37" s="45" t="s">
        <v>16</v>
      </c>
      <c r="AB37" s="45" t="s">
        <v>16</v>
      </c>
      <c r="AC37" s="45" t="s">
        <v>16</v>
      </c>
      <c r="AD37" s="45" t="s">
        <v>16</v>
      </c>
      <c r="AE37" s="45" t="s">
        <v>16</v>
      </c>
      <c r="AF37" s="45" t="s">
        <v>16</v>
      </c>
      <c r="AG37" s="45" t="s">
        <v>16</v>
      </c>
      <c r="AH37" s="45" t="s">
        <v>16</v>
      </c>
      <c r="AI37" s="45" t="s">
        <v>16</v>
      </c>
    </row>
    <row r="38" spans="1:35" ht="15" customHeight="1" x14ac:dyDescent="0.25">
      <c r="A38" s="41"/>
      <c r="B38" s="42">
        <f>data_diri_siswa!A66</f>
        <v>14501061</v>
      </c>
      <c r="C38" s="43" t="str">
        <f>data_diri_siswa!B66</f>
        <v>WANDI SUTIAWAN</v>
      </c>
      <c r="D38" s="44"/>
      <c r="E38" s="45"/>
      <c r="F38" s="45"/>
      <c r="G38" s="45"/>
      <c r="H38" s="45"/>
      <c r="I38" s="45"/>
      <c r="J38" s="45"/>
      <c r="K38" s="45"/>
      <c r="L38" s="45" t="s">
        <v>16</v>
      </c>
      <c r="M38" s="45" t="s">
        <v>16</v>
      </c>
      <c r="N38" s="45" t="s">
        <v>16</v>
      </c>
      <c r="O38" s="45" t="s">
        <v>16</v>
      </c>
      <c r="P38" s="45" t="s">
        <v>16</v>
      </c>
      <c r="Q38" s="45" t="s">
        <v>16</v>
      </c>
      <c r="R38" s="45" t="s">
        <v>16</v>
      </c>
      <c r="S38" s="45" t="s">
        <v>16</v>
      </c>
      <c r="T38" s="45" t="s">
        <v>16</v>
      </c>
      <c r="U38" s="45" t="s">
        <v>16</v>
      </c>
      <c r="V38" s="45" t="s">
        <v>16</v>
      </c>
      <c r="W38" s="45" t="s">
        <v>16</v>
      </c>
      <c r="X38" s="45" t="s">
        <v>16</v>
      </c>
      <c r="Y38" s="45" t="s">
        <v>16</v>
      </c>
      <c r="Z38" s="45" t="s">
        <v>16</v>
      </c>
      <c r="AA38" s="45" t="s">
        <v>16</v>
      </c>
      <c r="AB38" s="45" t="s">
        <v>16</v>
      </c>
      <c r="AC38" s="45" t="s">
        <v>16</v>
      </c>
      <c r="AD38" s="45" t="s">
        <v>16</v>
      </c>
      <c r="AE38" s="45" t="s">
        <v>16</v>
      </c>
      <c r="AF38" s="45" t="s">
        <v>16</v>
      </c>
      <c r="AG38" s="45" t="s">
        <v>16</v>
      </c>
      <c r="AH38" s="45" t="s">
        <v>16</v>
      </c>
      <c r="AI38" s="45" t="s">
        <v>16</v>
      </c>
    </row>
    <row r="39" spans="1:35" ht="15" customHeight="1" x14ac:dyDescent="0.25">
      <c r="A39" s="41"/>
      <c r="B39" s="42">
        <f>data_diri_siswa!A67</f>
        <v>14501062</v>
      </c>
      <c r="C39" s="43" t="str">
        <f>data_diri_siswa!B67</f>
        <v>WULAN</v>
      </c>
      <c r="D39" s="44"/>
      <c r="E39" s="45"/>
      <c r="F39" s="45"/>
      <c r="G39" s="45"/>
      <c r="H39" s="45"/>
      <c r="I39" s="45"/>
      <c r="J39" s="45"/>
      <c r="K39" s="45"/>
      <c r="L39" s="45" t="s">
        <v>16</v>
      </c>
      <c r="M39" s="45" t="s">
        <v>16</v>
      </c>
      <c r="N39" s="45" t="s">
        <v>16</v>
      </c>
      <c r="O39" s="45" t="s">
        <v>16</v>
      </c>
      <c r="P39" s="45" t="s">
        <v>16</v>
      </c>
      <c r="Q39" s="45" t="s">
        <v>16</v>
      </c>
      <c r="R39" s="45" t="s">
        <v>16</v>
      </c>
      <c r="S39" s="45" t="s">
        <v>16</v>
      </c>
      <c r="T39" s="45" t="s">
        <v>16</v>
      </c>
      <c r="U39" s="45" t="s">
        <v>16</v>
      </c>
      <c r="V39" s="45" t="s">
        <v>16</v>
      </c>
      <c r="W39" s="45" t="s">
        <v>16</v>
      </c>
      <c r="X39" s="45" t="s">
        <v>16</v>
      </c>
      <c r="Y39" s="45" t="s">
        <v>16</v>
      </c>
      <c r="Z39" s="45" t="s">
        <v>16</v>
      </c>
      <c r="AA39" s="45" t="s">
        <v>16</v>
      </c>
      <c r="AB39" s="45" t="s">
        <v>16</v>
      </c>
      <c r="AC39" s="45" t="s">
        <v>16</v>
      </c>
      <c r="AD39" s="45" t="s">
        <v>16</v>
      </c>
      <c r="AE39" s="45" t="s">
        <v>16</v>
      </c>
      <c r="AF39" s="45" t="s">
        <v>16</v>
      </c>
      <c r="AG39" s="45" t="s">
        <v>16</v>
      </c>
      <c r="AH39" s="45" t="s">
        <v>16</v>
      </c>
      <c r="AI39" s="45" t="s">
        <v>16</v>
      </c>
    </row>
    <row r="40" spans="1:35" ht="15" customHeight="1" x14ac:dyDescent="0.25">
      <c r="A40" s="41"/>
      <c r="B40" s="42">
        <f>data_diri_siswa!A68</f>
        <v>14501063</v>
      </c>
      <c r="C40" s="43" t="str">
        <f>data_diri_siswa!B68</f>
        <v>YAYAH ROHMAYANTI</v>
      </c>
      <c r="D40" s="44"/>
      <c r="E40" s="45"/>
      <c r="F40" s="45"/>
      <c r="G40" s="45"/>
      <c r="H40" s="45"/>
      <c r="I40" s="45"/>
      <c r="J40" s="45"/>
      <c r="K40" s="45"/>
      <c r="L40" s="45" t="s">
        <v>16</v>
      </c>
      <c r="M40" s="45" t="s">
        <v>16</v>
      </c>
      <c r="N40" s="45" t="s">
        <v>16</v>
      </c>
      <c r="O40" s="45" t="s">
        <v>16</v>
      </c>
      <c r="P40" s="45" t="s">
        <v>16</v>
      </c>
      <c r="Q40" s="45" t="s">
        <v>16</v>
      </c>
      <c r="R40" s="45" t="s">
        <v>16</v>
      </c>
      <c r="S40" s="45" t="s">
        <v>16</v>
      </c>
      <c r="T40" s="45" t="s">
        <v>16</v>
      </c>
      <c r="U40" s="45" t="s">
        <v>16</v>
      </c>
      <c r="V40" s="45" t="s">
        <v>16</v>
      </c>
      <c r="W40" s="45" t="s">
        <v>16</v>
      </c>
      <c r="X40" s="45" t="s">
        <v>16</v>
      </c>
      <c r="Y40" s="45" t="s">
        <v>16</v>
      </c>
      <c r="Z40" s="45" t="s">
        <v>16</v>
      </c>
      <c r="AA40" s="45" t="s">
        <v>16</v>
      </c>
      <c r="AB40" s="45" t="s">
        <v>16</v>
      </c>
      <c r="AC40" s="45" t="s">
        <v>16</v>
      </c>
      <c r="AD40" s="45" t="s">
        <v>16</v>
      </c>
      <c r="AE40" s="45" t="s">
        <v>16</v>
      </c>
      <c r="AF40" s="45" t="s">
        <v>16</v>
      </c>
      <c r="AG40" s="45" t="s">
        <v>16</v>
      </c>
      <c r="AH40" s="45" t="s">
        <v>16</v>
      </c>
      <c r="AI40" s="45" t="s">
        <v>16</v>
      </c>
    </row>
    <row r="41" spans="1:35" ht="15" customHeight="1" x14ac:dyDescent="0.25">
      <c r="A41" s="41"/>
      <c r="B41" s="42"/>
      <c r="C41" s="43"/>
      <c r="D41" s="44"/>
      <c r="E41" s="45"/>
      <c r="F41" s="45"/>
      <c r="G41" s="45"/>
      <c r="H41" s="45"/>
      <c r="I41" s="45"/>
      <c r="J41" s="45"/>
      <c r="K41" s="45"/>
      <c r="L41" s="45" t="s">
        <v>16</v>
      </c>
      <c r="M41" s="45" t="s">
        <v>16</v>
      </c>
      <c r="N41" s="45" t="s">
        <v>16</v>
      </c>
      <c r="O41" s="45" t="s">
        <v>16</v>
      </c>
      <c r="P41" s="45" t="s">
        <v>16</v>
      </c>
      <c r="Q41" s="45" t="s">
        <v>16</v>
      </c>
      <c r="R41" s="45" t="s">
        <v>16</v>
      </c>
      <c r="S41" s="45" t="s">
        <v>16</v>
      </c>
      <c r="T41" s="45" t="s">
        <v>16</v>
      </c>
      <c r="U41" s="45" t="s">
        <v>16</v>
      </c>
      <c r="V41" s="45" t="s">
        <v>16</v>
      </c>
      <c r="W41" s="45" t="s">
        <v>16</v>
      </c>
      <c r="X41" s="45" t="s">
        <v>16</v>
      </c>
      <c r="Y41" s="45" t="s">
        <v>16</v>
      </c>
      <c r="Z41" s="45" t="s">
        <v>16</v>
      </c>
      <c r="AA41" s="45" t="s">
        <v>16</v>
      </c>
      <c r="AB41" s="45" t="s">
        <v>16</v>
      </c>
      <c r="AC41" s="45" t="s">
        <v>16</v>
      </c>
      <c r="AD41" s="45" t="s">
        <v>16</v>
      </c>
      <c r="AE41" s="45" t="s">
        <v>16</v>
      </c>
      <c r="AF41" s="45" t="s">
        <v>16</v>
      </c>
      <c r="AG41" s="45" t="s">
        <v>16</v>
      </c>
      <c r="AH41" s="45" t="s">
        <v>16</v>
      </c>
      <c r="AI41" s="45" t="s">
        <v>16</v>
      </c>
    </row>
    <row r="42" spans="1:35" ht="15" customHeight="1" x14ac:dyDescent="0.25">
      <c r="A42" s="47"/>
      <c r="B42" s="48"/>
      <c r="C42" s="49"/>
      <c r="D42" s="49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</row>
    <row r="43" spans="1:35" ht="15" customHeight="1" x14ac:dyDescent="0.25">
      <c r="A43" s="145" t="s">
        <v>106</v>
      </c>
      <c r="B43" s="146"/>
      <c r="D43" s="49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</row>
    <row r="44" spans="1:35" ht="15" customHeight="1" x14ac:dyDescent="0.25">
      <c r="A44" s="52" t="s">
        <v>107</v>
      </c>
      <c r="B44" s="53" t="s">
        <v>108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</row>
    <row r="45" spans="1:35" ht="15" customHeight="1" x14ac:dyDescent="0.25">
      <c r="A45" s="52" t="s">
        <v>109</v>
      </c>
      <c r="B45" s="53" t="s">
        <v>110</v>
      </c>
      <c r="D45" s="55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</row>
    <row r="46" spans="1:35" ht="15" customHeight="1" x14ac:dyDescent="0.25">
      <c r="A46" s="52" t="s">
        <v>111</v>
      </c>
      <c r="B46" s="53" t="s">
        <v>112</v>
      </c>
      <c r="D46" s="55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</row>
    <row r="47" spans="1:35" ht="15" customHeight="1" x14ac:dyDescent="0.25">
      <c r="D47" s="55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</row>
    <row r="48" spans="1:35" ht="15.75" customHeight="1" x14ac:dyDescent="0.3">
      <c r="A48" s="57" t="s">
        <v>113</v>
      </c>
      <c r="B48" s="58"/>
      <c r="C48" s="59" t="s">
        <v>122</v>
      </c>
      <c r="D48" s="55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</row>
    <row r="49" spans="1:3" ht="15.75" x14ac:dyDescent="0.3">
      <c r="A49" s="57" t="s">
        <v>115</v>
      </c>
      <c r="B49" s="58"/>
      <c r="C49" s="59" t="s">
        <v>116</v>
      </c>
    </row>
    <row r="50" spans="1:3" ht="15.75" x14ac:dyDescent="0.3">
      <c r="A50" s="57" t="s">
        <v>117</v>
      </c>
      <c r="B50" s="58"/>
      <c r="C50" s="59" t="s">
        <v>123</v>
      </c>
    </row>
    <row r="51" spans="1:3" x14ac:dyDescent="0.25">
      <c r="A51" s="47"/>
      <c r="B51" s="48"/>
      <c r="C51" s="49"/>
    </row>
    <row r="52" spans="1:3" x14ac:dyDescent="0.25">
      <c r="A52" s="50"/>
      <c r="B52" s="60"/>
      <c r="C52" s="54"/>
    </row>
    <row r="53" spans="1:3" x14ac:dyDescent="0.25">
      <c r="A53" s="50"/>
      <c r="B53" s="61"/>
      <c r="C53" s="55"/>
    </row>
  </sheetData>
  <mergeCells count="9">
    <mergeCell ref="A43:B43"/>
    <mergeCell ref="A1:AI1"/>
    <mergeCell ref="A2:AI2"/>
    <mergeCell ref="A3:AI3"/>
    <mergeCell ref="A6:B7"/>
    <mergeCell ref="C6:C8"/>
    <mergeCell ref="D6:D8"/>
    <mergeCell ref="E6:AI7"/>
    <mergeCell ref="E8:AI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S869"/>
  <sheetViews>
    <sheetView showGridLines="0" showRowColHeaders="0" topLeftCell="A76" zoomScale="84" zoomScaleNormal="84" workbookViewId="0">
      <selection activeCell="D8" sqref="D8:P214"/>
    </sheetView>
  </sheetViews>
  <sheetFormatPr defaultRowHeight="15" x14ac:dyDescent="0.25"/>
  <cols>
    <col min="1" max="1" width="11.42578125" customWidth="1"/>
    <col min="2" max="2" width="30.7109375" customWidth="1"/>
    <col min="3" max="3" width="7.140625" customWidth="1"/>
    <col min="4" max="11" width="4.42578125" customWidth="1"/>
    <col min="12" max="12" width="4.85546875" customWidth="1"/>
    <col min="13" max="13" width="4.42578125" customWidth="1"/>
    <col min="14" max="14" width="5.42578125" customWidth="1"/>
    <col min="15" max="15" width="4.7109375" customWidth="1"/>
    <col min="16" max="16" width="4.42578125" customWidth="1"/>
    <col min="17" max="17" width="8.140625" customWidth="1"/>
    <col min="18" max="18" width="9.85546875" customWidth="1"/>
  </cols>
  <sheetData>
    <row r="2" spans="1:18" ht="30.75" customHeight="1" x14ac:dyDescent="0.45">
      <c r="A2" s="167" t="s">
        <v>251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</row>
    <row r="3" spans="1:18" ht="18.75" customHeight="1" x14ac:dyDescent="0.35">
      <c r="A3" s="168" t="s">
        <v>252</v>
      </c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</row>
    <row r="4" spans="1:18" ht="14.25" customHeight="1" x14ac:dyDescent="0.25">
      <c r="A4" s="144" t="s">
        <v>253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18" ht="10.5" customHeight="1" x14ac:dyDescent="0.25">
      <c r="A5" t="s">
        <v>16</v>
      </c>
      <c r="B5" t="s">
        <v>16</v>
      </c>
      <c r="C5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t="s">
        <v>16</v>
      </c>
      <c r="K5" t="s">
        <v>16</v>
      </c>
      <c r="L5" t="s">
        <v>16</v>
      </c>
      <c r="M5" t="s">
        <v>16</v>
      </c>
      <c r="N5" t="s">
        <v>16</v>
      </c>
      <c r="O5" t="s">
        <v>16</v>
      </c>
      <c r="P5" t="s">
        <v>16</v>
      </c>
    </row>
    <row r="6" spans="1:18" ht="14.25" customHeight="1" x14ac:dyDescent="0.25">
      <c r="A6" s="63"/>
      <c r="B6" s="63"/>
      <c r="C6" s="63"/>
      <c r="D6" s="165" t="s">
        <v>126</v>
      </c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6"/>
      <c r="Q6" s="164" t="s">
        <v>267</v>
      </c>
      <c r="R6" s="100"/>
    </row>
    <row r="7" spans="1:18" ht="63.75" customHeight="1" x14ac:dyDescent="0.25">
      <c r="A7" s="64" t="s">
        <v>258</v>
      </c>
      <c r="B7" s="64" t="s">
        <v>83</v>
      </c>
      <c r="C7" s="64" t="s">
        <v>9</v>
      </c>
      <c r="D7" s="65" t="s">
        <v>84</v>
      </c>
      <c r="E7" s="66" t="s">
        <v>85</v>
      </c>
      <c r="F7" s="66" t="s">
        <v>86</v>
      </c>
      <c r="G7" s="66" t="s">
        <v>88</v>
      </c>
      <c r="H7" s="66" t="s">
        <v>89</v>
      </c>
      <c r="I7" s="66" t="s">
        <v>90</v>
      </c>
      <c r="J7" s="66" t="s">
        <v>91</v>
      </c>
      <c r="K7" s="66" t="s">
        <v>125</v>
      </c>
      <c r="L7" s="66" t="s">
        <v>94</v>
      </c>
      <c r="M7" s="66" t="s">
        <v>87</v>
      </c>
      <c r="N7" s="66" t="s">
        <v>92</v>
      </c>
      <c r="O7" s="66" t="s">
        <v>93</v>
      </c>
      <c r="P7" s="79" t="s">
        <v>95</v>
      </c>
      <c r="Q7" s="164"/>
      <c r="R7" s="101" t="s">
        <v>268</v>
      </c>
    </row>
    <row r="8" spans="1:18" x14ac:dyDescent="0.25">
      <c r="A8" s="71" t="s">
        <v>257</v>
      </c>
      <c r="B8" s="67" t="s">
        <v>255</v>
      </c>
      <c r="C8" s="69" t="s">
        <v>14</v>
      </c>
      <c r="D8" s="76" t="s">
        <v>266</v>
      </c>
      <c r="E8" s="76" t="s">
        <v>265</v>
      </c>
      <c r="F8" s="77" t="s">
        <v>265</v>
      </c>
      <c r="G8" s="77" t="s">
        <v>265</v>
      </c>
      <c r="H8" s="77" t="s">
        <v>265</v>
      </c>
      <c r="I8" s="77" t="s">
        <v>265</v>
      </c>
      <c r="J8" s="77" t="s">
        <v>265</v>
      </c>
      <c r="K8" s="78" t="s">
        <v>265</v>
      </c>
      <c r="L8" s="77" t="s">
        <v>266</v>
      </c>
      <c r="M8" s="77" t="s">
        <v>266</v>
      </c>
      <c r="N8" s="77" t="s">
        <v>266</v>
      </c>
      <c r="O8" s="77" t="s">
        <v>265</v>
      </c>
      <c r="P8" s="140" t="s">
        <v>265</v>
      </c>
      <c r="Q8" s="74">
        <v>95</v>
      </c>
      <c r="R8" s="102">
        <v>7.3076923076923102</v>
      </c>
    </row>
    <row r="9" spans="1:18" x14ac:dyDescent="0.25">
      <c r="A9" s="73" t="s">
        <v>259</v>
      </c>
      <c r="B9" s="67" t="s">
        <v>17</v>
      </c>
      <c r="C9" s="68" t="s">
        <v>14</v>
      </c>
      <c r="D9" s="77" t="s">
        <v>266</v>
      </c>
      <c r="E9" s="77" t="s">
        <v>265</v>
      </c>
      <c r="F9" s="77" t="s">
        <v>266</v>
      </c>
      <c r="G9" s="77" t="s">
        <v>266</v>
      </c>
      <c r="H9" s="77" t="s">
        <v>265</v>
      </c>
      <c r="I9" s="77" t="s">
        <v>265</v>
      </c>
      <c r="J9" s="77" t="s">
        <v>266</v>
      </c>
      <c r="K9" s="77" t="s">
        <v>266</v>
      </c>
      <c r="L9" s="77" t="s">
        <v>265</v>
      </c>
      <c r="M9" s="77" t="s">
        <v>265</v>
      </c>
      <c r="N9" s="77" t="s">
        <v>265</v>
      </c>
      <c r="O9" s="77" t="s">
        <v>265</v>
      </c>
      <c r="P9" s="140" t="s">
        <v>266</v>
      </c>
      <c r="Q9" s="74">
        <v>97</v>
      </c>
      <c r="R9" s="102">
        <v>7.4615384615384599</v>
      </c>
    </row>
    <row r="10" spans="1:18" x14ac:dyDescent="0.25">
      <c r="A10" s="73" t="s">
        <v>358</v>
      </c>
      <c r="B10" s="67" t="s">
        <v>18</v>
      </c>
      <c r="C10" s="68" t="s">
        <v>14</v>
      </c>
      <c r="D10" s="77" t="s">
        <v>266</v>
      </c>
      <c r="E10" s="77" t="s">
        <v>266</v>
      </c>
      <c r="F10" s="77" t="s">
        <v>266</v>
      </c>
      <c r="G10" s="77" t="s">
        <v>266</v>
      </c>
      <c r="H10" s="77" t="s">
        <v>265</v>
      </c>
      <c r="I10" s="77" t="s">
        <v>265</v>
      </c>
      <c r="J10" s="77" t="s">
        <v>265</v>
      </c>
      <c r="K10" s="77" t="s">
        <v>266</v>
      </c>
      <c r="L10" s="77" t="s">
        <v>265</v>
      </c>
      <c r="M10" s="77" t="s">
        <v>265</v>
      </c>
      <c r="N10" s="77" t="s">
        <v>265</v>
      </c>
      <c r="O10" s="77" t="s">
        <v>266</v>
      </c>
      <c r="P10" s="140" t="s">
        <v>265</v>
      </c>
      <c r="Q10" s="74">
        <v>97</v>
      </c>
      <c r="R10" s="102">
        <v>7.4615384615384599</v>
      </c>
    </row>
    <row r="11" spans="1:18" x14ac:dyDescent="0.25">
      <c r="A11" s="73">
        <v>14501004</v>
      </c>
      <c r="B11" s="67" t="s">
        <v>19</v>
      </c>
      <c r="C11" s="68" t="s">
        <v>14</v>
      </c>
      <c r="D11" s="77">
        <v>8</v>
      </c>
      <c r="E11" s="77">
        <v>8</v>
      </c>
      <c r="F11" s="77">
        <v>8</v>
      </c>
      <c r="G11" s="77">
        <v>8</v>
      </c>
      <c r="H11" s="77">
        <v>6</v>
      </c>
      <c r="I11" s="77">
        <v>6</v>
      </c>
      <c r="J11" s="77">
        <v>7</v>
      </c>
      <c r="K11" s="77">
        <v>8</v>
      </c>
      <c r="L11" s="77">
        <v>8</v>
      </c>
      <c r="M11" s="77">
        <v>7</v>
      </c>
      <c r="N11" s="77">
        <v>7</v>
      </c>
      <c r="O11" s="77">
        <v>7</v>
      </c>
      <c r="P11" s="140">
        <v>7</v>
      </c>
      <c r="Q11" s="74">
        <f t="shared" ref="Q11:Q70" si="0">SUM(D11:P11)</f>
        <v>95</v>
      </c>
      <c r="R11" s="102">
        <f t="shared" ref="R11:R70" si="1">AVERAGE(D11:P11)</f>
        <v>7.3076923076923075</v>
      </c>
    </row>
    <row r="12" spans="1:18" x14ac:dyDescent="0.25">
      <c r="A12" s="73">
        <v>14501005</v>
      </c>
      <c r="B12" s="67" t="s">
        <v>20</v>
      </c>
      <c r="C12" s="68" t="s">
        <v>14</v>
      </c>
      <c r="D12" s="77">
        <v>9</v>
      </c>
      <c r="E12" s="77">
        <v>8</v>
      </c>
      <c r="F12" s="77">
        <v>8</v>
      </c>
      <c r="G12" s="77">
        <v>8</v>
      </c>
      <c r="H12" s="77">
        <v>7</v>
      </c>
      <c r="I12" s="77">
        <v>7</v>
      </c>
      <c r="J12" s="77">
        <v>8</v>
      </c>
      <c r="K12" s="77">
        <v>8</v>
      </c>
      <c r="L12" s="77">
        <v>8</v>
      </c>
      <c r="M12" s="77">
        <v>8</v>
      </c>
      <c r="N12" s="77">
        <v>8</v>
      </c>
      <c r="O12" s="77">
        <v>8</v>
      </c>
      <c r="P12" s="140">
        <v>8</v>
      </c>
      <c r="Q12" s="74">
        <f t="shared" si="0"/>
        <v>103</v>
      </c>
      <c r="R12" s="102">
        <f t="shared" si="1"/>
        <v>7.9230769230769234</v>
      </c>
    </row>
    <row r="13" spans="1:18" x14ac:dyDescent="0.25">
      <c r="A13" s="73">
        <v>14501006</v>
      </c>
      <c r="B13" s="67" t="s">
        <v>21</v>
      </c>
      <c r="C13" s="68" t="s">
        <v>14</v>
      </c>
      <c r="D13" s="77">
        <v>8</v>
      </c>
      <c r="E13" s="77">
        <v>7</v>
      </c>
      <c r="F13" s="77">
        <v>7</v>
      </c>
      <c r="G13" s="77">
        <v>8</v>
      </c>
      <c r="H13" s="77">
        <v>7</v>
      </c>
      <c r="I13" s="77">
        <v>6</v>
      </c>
      <c r="J13" s="77">
        <v>7</v>
      </c>
      <c r="K13" s="77">
        <v>7</v>
      </c>
      <c r="L13" s="77">
        <v>8</v>
      </c>
      <c r="M13" s="77">
        <v>7</v>
      </c>
      <c r="N13" s="77">
        <v>7</v>
      </c>
      <c r="O13" s="77">
        <v>8</v>
      </c>
      <c r="P13" s="140">
        <v>7</v>
      </c>
      <c r="Q13" s="74">
        <f t="shared" si="0"/>
        <v>94</v>
      </c>
      <c r="R13" s="102">
        <f t="shared" si="1"/>
        <v>7.2307692307692308</v>
      </c>
    </row>
    <row r="14" spans="1:18" x14ac:dyDescent="0.25">
      <c r="A14" s="73">
        <v>14501007</v>
      </c>
      <c r="B14" s="67" t="s">
        <v>22</v>
      </c>
      <c r="C14" s="68" t="s">
        <v>14</v>
      </c>
      <c r="D14" s="77">
        <v>7</v>
      </c>
      <c r="E14" s="77">
        <v>7</v>
      </c>
      <c r="F14" s="77">
        <v>8</v>
      </c>
      <c r="G14" s="77">
        <v>8</v>
      </c>
      <c r="H14" s="77">
        <v>7</v>
      </c>
      <c r="I14" s="77">
        <v>7</v>
      </c>
      <c r="J14" s="77">
        <v>8</v>
      </c>
      <c r="K14" s="77">
        <v>8</v>
      </c>
      <c r="L14" s="77">
        <v>7</v>
      </c>
      <c r="M14" s="77">
        <v>7</v>
      </c>
      <c r="N14" s="77">
        <v>7</v>
      </c>
      <c r="O14" s="77">
        <v>8</v>
      </c>
      <c r="P14" s="140">
        <v>8</v>
      </c>
      <c r="Q14" s="74">
        <f t="shared" si="0"/>
        <v>97</v>
      </c>
      <c r="R14" s="102">
        <f t="shared" si="1"/>
        <v>7.4615384615384617</v>
      </c>
    </row>
    <row r="15" spans="1:18" x14ac:dyDescent="0.25">
      <c r="A15" s="73" t="s">
        <v>264</v>
      </c>
      <c r="B15" s="67" t="s">
        <v>23</v>
      </c>
      <c r="C15" s="68" t="s">
        <v>14</v>
      </c>
      <c r="D15" s="77" t="s">
        <v>265</v>
      </c>
      <c r="E15" s="77" t="s">
        <v>265</v>
      </c>
      <c r="F15" s="77" t="s">
        <v>265</v>
      </c>
      <c r="G15" s="77" t="s">
        <v>265</v>
      </c>
      <c r="H15" s="77">
        <v>6</v>
      </c>
      <c r="I15" s="77">
        <v>6</v>
      </c>
      <c r="J15" s="77" t="s">
        <v>265</v>
      </c>
      <c r="K15" s="77">
        <v>8</v>
      </c>
      <c r="L15" s="77" t="s">
        <v>265</v>
      </c>
      <c r="M15" s="77" t="s">
        <v>265</v>
      </c>
      <c r="N15" s="77" t="s">
        <v>265</v>
      </c>
      <c r="O15" s="77" t="s">
        <v>265</v>
      </c>
      <c r="P15" s="140" t="s">
        <v>266</v>
      </c>
      <c r="Q15" s="74">
        <f t="shared" si="0"/>
        <v>20</v>
      </c>
      <c r="R15" s="102">
        <f t="shared" si="1"/>
        <v>6.666666666666667</v>
      </c>
    </row>
    <row r="16" spans="1:18" x14ac:dyDescent="0.25">
      <c r="A16" s="73">
        <v>14501009</v>
      </c>
      <c r="B16" s="67" t="s">
        <v>24</v>
      </c>
      <c r="C16" s="68" t="s">
        <v>14</v>
      </c>
      <c r="D16" s="77">
        <v>8</v>
      </c>
      <c r="E16" s="77">
        <v>7</v>
      </c>
      <c r="F16" s="77">
        <v>8</v>
      </c>
      <c r="G16" s="77">
        <v>7</v>
      </c>
      <c r="H16" s="77">
        <v>6</v>
      </c>
      <c r="I16" s="77">
        <v>7</v>
      </c>
      <c r="J16" s="77">
        <v>8</v>
      </c>
      <c r="K16" s="77">
        <v>9</v>
      </c>
      <c r="L16" s="77">
        <v>7</v>
      </c>
      <c r="M16" s="77">
        <v>7</v>
      </c>
      <c r="N16" s="77">
        <v>7</v>
      </c>
      <c r="O16" s="77">
        <v>7</v>
      </c>
      <c r="P16" s="140">
        <v>7</v>
      </c>
      <c r="Q16" s="74">
        <f t="shared" si="0"/>
        <v>95</v>
      </c>
      <c r="R16" s="102">
        <f t="shared" si="1"/>
        <v>7.3076923076923075</v>
      </c>
    </row>
    <row r="17" spans="1:18" x14ac:dyDescent="0.25">
      <c r="A17" s="73">
        <v>14501010</v>
      </c>
      <c r="B17" s="67" t="s">
        <v>25</v>
      </c>
      <c r="C17" s="68" t="s">
        <v>14</v>
      </c>
      <c r="D17" s="77">
        <v>8</v>
      </c>
      <c r="E17" s="77">
        <v>7</v>
      </c>
      <c r="F17" s="77">
        <v>8</v>
      </c>
      <c r="G17" s="77">
        <v>7</v>
      </c>
      <c r="H17" s="77">
        <v>7</v>
      </c>
      <c r="I17" s="77">
        <v>7</v>
      </c>
      <c r="J17" s="77">
        <v>8</v>
      </c>
      <c r="K17" s="77">
        <v>7</v>
      </c>
      <c r="L17" s="77">
        <v>8</v>
      </c>
      <c r="M17" s="77">
        <v>7</v>
      </c>
      <c r="N17" s="77">
        <v>7</v>
      </c>
      <c r="O17" s="77">
        <v>7</v>
      </c>
      <c r="P17" s="140">
        <v>8</v>
      </c>
      <c r="Q17" s="74">
        <f t="shared" si="0"/>
        <v>96</v>
      </c>
      <c r="R17" s="102">
        <f t="shared" si="1"/>
        <v>7.384615384615385</v>
      </c>
    </row>
    <row r="18" spans="1:18" x14ac:dyDescent="0.25">
      <c r="A18" s="73">
        <v>14501011</v>
      </c>
      <c r="B18" s="67" t="s">
        <v>26</v>
      </c>
      <c r="C18" s="68" t="s">
        <v>14</v>
      </c>
      <c r="D18" s="77">
        <v>8</v>
      </c>
      <c r="E18" s="77">
        <v>7</v>
      </c>
      <c r="F18" s="77">
        <v>9</v>
      </c>
      <c r="G18" s="77">
        <v>8</v>
      </c>
      <c r="H18" s="77">
        <v>8</v>
      </c>
      <c r="I18" s="77">
        <v>8</v>
      </c>
      <c r="J18" s="77">
        <v>7</v>
      </c>
      <c r="K18" s="77">
        <v>8</v>
      </c>
      <c r="L18" s="77">
        <v>8</v>
      </c>
      <c r="M18" s="77">
        <v>8</v>
      </c>
      <c r="N18" s="77">
        <v>8</v>
      </c>
      <c r="O18" s="77">
        <v>8</v>
      </c>
      <c r="P18" s="140">
        <v>9</v>
      </c>
      <c r="Q18" s="74">
        <f t="shared" si="0"/>
        <v>104</v>
      </c>
      <c r="R18" s="102">
        <f t="shared" si="1"/>
        <v>8</v>
      </c>
    </row>
    <row r="19" spans="1:18" x14ac:dyDescent="0.25">
      <c r="A19" s="73">
        <v>14501013</v>
      </c>
      <c r="B19" s="67" t="s">
        <v>27</v>
      </c>
      <c r="C19" s="68" t="s">
        <v>14</v>
      </c>
      <c r="D19" s="76">
        <v>8</v>
      </c>
      <c r="E19" s="76">
        <v>7</v>
      </c>
      <c r="F19" s="77">
        <v>8</v>
      </c>
      <c r="G19" s="77">
        <v>7</v>
      </c>
      <c r="H19" s="77">
        <v>7</v>
      </c>
      <c r="I19" s="77">
        <v>7</v>
      </c>
      <c r="J19" s="77">
        <v>7</v>
      </c>
      <c r="K19" s="78">
        <v>7</v>
      </c>
      <c r="L19" s="77">
        <v>8</v>
      </c>
      <c r="M19" s="77">
        <v>8</v>
      </c>
      <c r="N19" s="77">
        <v>8</v>
      </c>
      <c r="O19" s="77">
        <v>7</v>
      </c>
      <c r="P19" s="140">
        <v>8</v>
      </c>
      <c r="Q19" s="74">
        <f t="shared" si="0"/>
        <v>97</v>
      </c>
      <c r="R19" s="102">
        <f t="shared" si="1"/>
        <v>7.4615384615384617</v>
      </c>
    </row>
    <row r="20" spans="1:18" x14ac:dyDescent="0.25">
      <c r="A20" s="73">
        <v>14501014</v>
      </c>
      <c r="B20" s="67" t="s">
        <v>28</v>
      </c>
      <c r="C20" s="68" t="s">
        <v>14</v>
      </c>
      <c r="D20" s="77">
        <v>7</v>
      </c>
      <c r="E20" s="77">
        <v>7</v>
      </c>
      <c r="F20" s="77">
        <v>8</v>
      </c>
      <c r="G20" s="77">
        <v>8</v>
      </c>
      <c r="H20" s="77">
        <v>7</v>
      </c>
      <c r="I20" s="77">
        <v>7</v>
      </c>
      <c r="J20" s="77">
        <v>8</v>
      </c>
      <c r="K20" s="77">
        <v>8</v>
      </c>
      <c r="L20" s="77">
        <v>7</v>
      </c>
      <c r="M20" s="77">
        <v>7</v>
      </c>
      <c r="N20" s="77">
        <v>7</v>
      </c>
      <c r="O20" s="77">
        <v>8</v>
      </c>
      <c r="P20" s="140">
        <v>8</v>
      </c>
      <c r="Q20" s="74">
        <f t="shared" si="0"/>
        <v>97</v>
      </c>
      <c r="R20" s="102">
        <f t="shared" si="1"/>
        <v>7.4615384615384617</v>
      </c>
    </row>
    <row r="21" spans="1:18" x14ac:dyDescent="0.25">
      <c r="A21" s="73">
        <v>14501015</v>
      </c>
      <c r="B21" s="67" t="s">
        <v>29</v>
      </c>
      <c r="C21" s="68" t="s">
        <v>14</v>
      </c>
      <c r="D21" s="77">
        <v>8</v>
      </c>
      <c r="E21" s="77">
        <v>8</v>
      </c>
      <c r="F21" s="77">
        <v>8</v>
      </c>
      <c r="G21" s="77">
        <v>8</v>
      </c>
      <c r="H21" s="77">
        <v>7</v>
      </c>
      <c r="I21" s="77">
        <v>7</v>
      </c>
      <c r="J21" s="77">
        <v>7</v>
      </c>
      <c r="K21" s="77">
        <v>8</v>
      </c>
      <c r="L21" s="77">
        <v>7</v>
      </c>
      <c r="M21" s="77">
        <v>7</v>
      </c>
      <c r="N21" s="77">
        <v>7</v>
      </c>
      <c r="O21" s="77">
        <v>8</v>
      </c>
      <c r="P21" s="140">
        <v>7</v>
      </c>
      <c r="Q21" s="74">
        <f t="shared" si="0"/>
        <v>97</v>
      </c>
      <c r="R21" s="102">
        <f t="shared" si="1"/>
        <v>7.4615384615384617</v>
      </c>
    </row>
    <row r="22" spans="1:18" x14ac:dyDescent="0.25">
      <c r="A22" s="73">
        <v>14501016</v>
      </c>
      <c r="B22" s="67" t="s">
        <v>30</v>
      </c>
      <c r="C22" s="68" t="s">
        <v>14</v>
      </c>
      <c r="D22" s="77">
        <v>8</v>
      </c>
      <c r="E22" s="77">
        <v>8</v>
      </c>
      <c r="F22" s="77">
        <v>8</v>
      </c>
      <c r="G22" s="77">
        <v>8</v>
      </c>
      <c r="H22" s="77">
        <v>6</v>
      </c>
      <c r="I22" s="77">
        <v>6</v>
      </c>
      <c r="J22" s="77">
        <v>7</v>
      </c>
      <c r="K22" s="77">
        <v>8</v>
      </c>
      <c r="L22" s="77">
        <v>8</v>
      </c>
      <c r="M22" s="77">
        <v>7</v>
      </c>
      <c r="N22" s="77">
        <v>7</v>
      </c>
      <c r="O22" s="77">
        <v>7</v>
      </c>
      <c r="P22" s="140">
        <v>7</v>
      </c>
      <c r="Q22" s="74">
        <f t="shared" si="0"/>
        <v>95</v>
      </c>
      <c r="R22" s="102">
        <f t="shared" si="1"/>
        <v>7.3076923076923075</v>
      </c>
    </row>
    <row r="23" spans="1:18" x14ac:dyDescent="0.25">
      <c r="A23" s="73">
        <v>14501018</v>
      </c>
      <c r="B23" s="67" t="s">
        <v>31</v>
      </c>
      <c r="C23" s="68" t="s">
        <v>14</v>
      </c>
      <c r="D23" s="77">
        <v>8</v>
      </c>
      <c r="E23" s="77">
        <v>8</v>
      </c>
      <c r="F23" s="77">
        <v>8</v>
      </c>
      <c r="G23" s="77">
        <v>7</v>
      </c>
      <c r="H23" s="77">
        <v>7</v>
      </c>
      <c r="I23" s="77">
        <v>7</v>
      </c>
      <c r="J23" s="77">
        <v>8</v>
      </c>
      <c r="K23" s="77">
        <v>7</v>
      </c>
      <c r="L23" s="77">
        <v>8</v>
      </c>
      <c r="M23" s="77">
        <v>7</v>
      </c>
      <c r="N23" s="77">
        <v>8</v>
      </c>
      <c r="O23" s="77">
        <v>7</v>
      </c>
      <c r="P23" s="140">
        <v>7</v>
      </c>
      <c r="Q23" s="74">
        <f t="shared" si="0"/>
        <v>97</v>
      </c>
      <c r="R23" s="102">
        <f t="shared" si="1"/>
        <v>7.4615384615384617</v>
      </c>
    </row>
    <row r="24" spans="1:18" x14ac:dyDescent="0.25">
      <c r="A24" s="73">
        <v>14501019</v>
      </c>
      <c r="B24" s="67" t="s">
        <v>32</v>
      </c>
      <c r="C24" s="68" t="s">
        <v>14</v>
      </c>
      <c r="D24" s="77">
        <v>7</v>
      </c>
      <c r="E24" s="77">
        <v>6</v>
      </c>
      <c r="F24" s="77">
        <v>7</v>
      </c>
      <c r="G24" s="77">
        <v>6</v>
      </c>
      <c r="H24" s="77">
        <v>6</v>
      </c>
      <c r="I24" s="77">
        <v>6</v>
      </c>
      <c r="J24" s="77">
        <v>7</v>
      </c>
      <c r="K24" s="77">
        <v>7</v>
      </c>
      <c r="L24" s="77">
        <v>7</v>
      </c>
      <c r="M24" s="77">
        <v>8</v>
      </c>
      <c r="N24" s="77">
        <v>6</v>
      </c>
      <c r="O24" s="77">
        <v>7</v>
      </c>
      <c r="P24" s="140">
        <v>8</v>
      </c>
      <c r="Q24" s="74">
        <f t="shared" si="0"/>
        <v>88</v>
      </c>
      <c r="R24" s="102">
        <f t="shared" si="1"/>
        <v>6.7692307692307692</v>
      </c>
    </row>
    <row r="25" spans="1:18" x14ac:dyDescent="0.25">
      <c r="A25" s="73">
        <v>14501020</v>
      </c>
      <c r="B25" s="67" t="s">
        <v>33</v>
      </c>
      <c r="C25" s="68" t="s">
        <v>14</v>
      </c>
      <c r="D25" s="77">
        <v>7</v>
      </c>
      <c r="E25" s="77">
        <v>7</v>
      </c>
      <c r="F25" s="77">
        <v>8</v>
      </c>
      <c r="G25" s="77">
        <v>8</v>
      </c>
      <c r="H25" s="77">
        <v>7</v>
      </c>
      <c r="I25" s="77">
        <v>7</v>
      </c>
      <c r="J25" s="77">
        <v>7</v>
      </c>
      <c r="K25" s="77">
        <v>8</v>
      </c>
      <c r="L25" s="77">
        <v>8</v>
      </c>
      <c r="M25" s="77">
        <v>7</v>
      </c>
      <c r="N25" s="77">
        <v>8</v>
      </c>
      <c r="O25" s="77">
        <v>8</v>
      </c>
      <c r="P25" s="140">
        <v>8</v>
      </c>
      <c r="Q25" s="74">
        <f t="shared" si="0"/>
        <v>98</v>
      </c>
      <c r="R25" s="102">
        <f t="shared" si="1"/>
        <v>7.5384615384615383</v>
      </c>
    </row>
    <row r="26" spans="1:18" x14ac:dyDescent="0.25">
      <c r="A26" s="73">
        <v>14501021</v>
      </c>
      <c r="B26" s="67" t="s">
        <v>34</v>
      </c>
      <c r="C26" s="68" t="s">
        <v>14</v>
      </c>
      <c r="D26" s="77">
        <v>8</v>
      </c>
      <c r="E26" s="77">
        <v>7</v>
      </c>
      <c r="F26" s="77">
        <v>7</v>
      </c>
      <c r="G26" s="77">
        <v>8</v>
      </c>
      <c r="H26" s="77">
        <v>6</v>
      </c>
      <c r="I26" s="77">
        <v>7</v>
      </c>
      <c r="J26" s="77">
        <v>7</v>
      </c>
      <c r="K26" s="77">
        <v>7</v>
      </c>
      <c r="L26" s="77">
        <v>8</v>
      </c>
      <c r="M26" s="77">
        <v>7</v>
      </c>
      <c r="N26" s="77">
        <v>8</v>
      </c>
      <c r="O26" s="77">
        <v>8</v>
      </c>
      <c r="P26" s="140">
        <v>7</v>
      </c>
      <c r="Q26" s="74">
        <f t="shared" si="0"/>
        <v>95</v>
      </c>
      <c r="R26" s="102">
        <f t="shared" si="1"/>
        <v>7.3076923076923075</v>
      </c>
    </row>
    <row r="27" spans="1:18" x14ac:dyDescent="0.25">
      <c r="A27" s="73">
        <v>14501022</v>
      </c>
      <c r="B27" s="67" t="s">
        <v>35</v>
      </c>
      <c r="C27" s="68" t="s">
        <v>14</v>
      </c>
      <c r="D27" s="77">
        <v>7</v>
      </c>
      <c r="E27" s="77">
        <v>8</v>
      </c>
      <c r="F27" s="77">
        <v>7</v>
      </c>
      <c r="G27" s="77">
        <v>7</v>
      </c>
      <c r="H27" s="77">
        <v>7</v>
      </c>
      <c r="I27" s="77">
        <v>8</v>
      </c>
      <c r="J27" s="77">
        <v>7</v>
      </c>
      <c r="K27" s="77">
        <v>6</v>
      </c>
      <c r="L27" s="77">
        <v>8</v>
      </c>
      <c r="M27" s="77">
        <v>8</v>
      </c>
      <c r="N27" s="77">
        <v>8</v>
      </c>
      <c r="O27" s="77">
        <v>7</v>
      </c>
      <c r="P27" s="140">
        <v>7</v>
      </c>
      <c r="Q27" s="74">
        <f t="shared" si="0"/>
        <v>95</v>
      </c>
      <c r="R27" s="102">
        <f t="shared" si="1"/>
        <v>7.3076923076923075</v>
      </c>
    </row>
    <row r="28" spans="1:18" x14ac:dyDescent="0.25">
      <c r="A28" s="73">
        <v>14501023</v>
      </c>
      <c r="B28" s="67" t="s">
        <v>36</v>
      </c>
      <c r="C28" s="68" t="s">
        <v>14</v>
      </c>
      <c r="D28" s="77">
        <v>8</v>
      </c>
      <c r="E28" s="77">
        <v>7</v>
      </c>
      <c r="F28" s="77">
        <v>7</v>
      </c>
      <c r="G28" s="77">
        <v>8</v>
      </c>
      <c r="H28" s="77">
        <v>7</v>
      </c>
      <c r="I28" s="77">
        <v>6</v>
      </c>
      <c r="J28" s="77">
        <v>7</v>
      </c>
      <c r="K28" s="77">
        <v>7</v>
      </c>
      <c r="L28" s="77">
        <v>8</v>
      </c>
      <c r="M28" s="77">
        <v>8</v>
      </c>
      <c r="N28" s="77">
        <v>7</v>
      </c>
      <c r="O28" s="77">
        <v>8</v>
      </c>
      <c r="P28" s="140">
        <v>7</v>
      </c>
      <c r="Q28" s="74">
        <f t="shared" si="0"/>
        <v>95</v>
      </c>
      <c r="R28" s="102">
        <f t="shared" si="1"/>
        <v>7.3076923076923075</v>
      </c>
    </row>
    <row r="29" spans="1:18" x14ac:dyDescent="0.25">
      <c r="A29" s="73">
        <v>14501024</v>
      </c>
      <c r="B29" s="67" t="s">
        <v>37</v>
      </c>
      <c r="C29" s="68" t="s">
        <v>14</v>
      </c>
      <c r="D29" s="77">
        <v>7</v>
      </c>
      <c r="E29" s="77">
        <v>7</v>
      </c>
      <c r="F29" s="77">
        <v>8</v>
      </c>
      <c r="G29" s="77">
        <v>8</v>
      </c>
      <c r="H29" s="77">
        <v>7</v>
      </c>
      <c r="I29" s="77">
        <v>7</v>
      </c>
      <c r="J29" s="77">
        <v>8</v>
      </c>
      <c r="K29" s="77">
        <v>8</v>
      </c>
      <c r="L29" s="77">
        <v>8</v>
      </c>
      <c r="M29" s="77">
        <v>7</v>
      </c>
      <c r="N29" s="77">
        <v>7</v>
      </c>
      <c r="O29" s="77">
        <v>8</v>
      </c>
      <c r="P29" s="140">
        <v>8</v>
      </c>
      <c r="Q29" s="74">
        <f t="shared" si="0"/>
        <v>98</v>
      </c>
      <c r="R29" s="102">
        <f t="shared" si="1"/>
        <v>7.5384615384615383</v>
      </c>
    </row>
    <row r="30" spans="1:18" x14ac:dyDescent="0.25">
      <c r="A30" s="73">
        <v>14501025</v>
      </c>
      <c r="B30" s="67" t="s">
        <v>38</v>
      </c>
      <c r="C30" s="68" t="s">
        <v>14</v>
      </c>
      <c r="D30" s="77">
        <v>7</v>
      </c>
      <c r="E30" s="77">
        <v>7</v>
      </c>
      <c r="F30" s="77">
        <v>8</v>
      </c>
      <c r="G30" s="77">
        <v>8</v>
      </c>
      <c r="H30" s="77">
        <v>7</v>
      </c>
      <c r="I30" s="77">
        <v>7</v>
      </c>
      <c r="J30" s="77">
        <v>8</v>
      </c>
      <c r="K30" s="77">
        <v>8</v>
      </c>
      <c r="L30" s="77">
        <v>7</v>
      </c>
      <c r="M30" s="77">
        <v>7</v>
      </c>
      <c r="N30" s="77">
        <v>7</v>
      </c>
      <c r="O30" s="77">
        <v>8</v>
      </c>
      <c r="P30" s="140">
        <v>8</v>
      </c>
      <c r="Q30" s="74">
        <f t="shared" si="0"/>
        <v>97</v>
      </c>
      <c r="R30" s="102">
        <f t="shared" si="1"/>
        <v>7.4615384615384617</v>
      </c>
    </row>
    <row r="31" spans="1:18" x14ac:dyDescent="0.25">
      <c r="A31" s="73">
        <v>14501026</v>
      </c>
      <c r="B31" s="67" t="s">
        <v>39</v>
      </c>
      <c r="C31" s="68" t="s">
        <v>14</v>
      </c>
      <c r="D31" s="77">
        <v>9</v>
      </c>
      <c r="E31" s="77">
        <v>8</v>
      </c>
      <c r="F31" s="77">
        <v>8</v>
      </c>
      <c r="G31" s="77">
        <v>8</v>
      </c>
      <c r="H31" s="77">
        <v>7</v>
      </c>
      <c r="I31" s="77">
        <v>8</v>
      </c>
      <c r="J31" s="77">
        <v>8</v>
      </c>
      <c r="K31" s="77">
        <v>8</v>
      </c>
      <c r="L31" s="77">
        <v>8</v>
      </c>
      <c r="M31" s="77">
        <v>8</v>
      </c>
      <c r="N31" s="77">
        <v>8</v>
      </c>
      <c r="O31" s="77">
        <v>8</v>
      </c>
      <c r="P31" s="140" t="s">
        <v>266</v>
      </c>
      <c r="Q31" s="74">
        <f t="shared" si="0"/>
        <v>96</v>
      </c>
      <c r="R31" s="102">
        <f t="shared" si="1"/>
        <v>8</v>
      </c>
    </row>
    <row r="32" spans="1:18" x14ac:dyDescent="0.25">
      <c r="A32" s="73">
        <v>14501027</v>
      </c>
      <c r="B32" s="67" t="s">
        <v>40</v>
      </c>
      <c r="C32" s="68" t="s">
        <v>14</v>
      </c>
      <c r="D32" s="77">
        <v>7</v>
      </c>
      <c r="E32" s="77">
        <v>7</v>
      </c>
      <c r="F32" s="77">
        <v>8</v>
      </c>
      <c r="G32" s="77">
        <v>8</v>
      </c>
      <c r="H32" s="77">
        <v>8</v>
      </c>
      <c r="I32" s="77">
        <v>7</v>
      </c>
      <c r="J32" s="77">
        <v>7</v>
      </c>
      <c r="K32" s="77">
        <v>8</v>
      </c>
      <c r="L32" s="77">
        <v>8</v>
      </c>
      <c r="M32" s="77">
        <v>7</v>
      </c>
      <c r="N32" s="77">
        <v>8</v>
      </c>
      <c r="O32" s="77">
        <v>8</v>
      </c>
      <c r="P32" s="140">
        <v>7</v>
      </c>
      <c r="Q32" s="74">
        <f t="shared" si="0"/>
        <v>98</v>
      </c>
      <c r="R32" s="102">
        <f t="shared" si="1"/>
        <v>7.5384615384615383</v>
      </c>
    </row>
    <row r="33" spans="1:18" x14ac:dyDescent="0.25">
      <c r="A33" s="73">
        <v>14501028</v>
      </c>
      <c r="B33" s="67" t="s">
        <v>41</v>
      </c>
      <c r="C33" s="68" t="s">
        <v>14</v>
      </c>
      <c r="D33" s="77">
        <v>8</v>
      </c>
      <c r="E33" s="77">
        <v>7</v>
      </c>
      <c r="F33" s="77">
        <v>7</v>
      </c>
      <c r="G33" s="77">
        <v>8</v>
      </c>
      <c r="H33" s="77">
        <v>6</v>
      </c>
      <c r="I33" s="77">
        <v>7</v>
      </c>
      <c r="J33" s="77">
        <v>7</v>
      </c>
      <c r="K33" s="77">
        <v>8</v>
      </c>
      <c r="L33" s="77">
        <v>7</v>
      </c>
      <c r="M33" s="77">
        <v>8</v>
      </c>
      <c r="N33" s="77">
        <v>8</v>
      </c>
      <c r="O33" s="77">
        <v>7</v>
      </c>
      <c r="P33" s="140">
        <v>8</v>
      </c>
      <c r="Q33" s="74">
        <f t="shared" si="0"/>
        <v>96</v>
      </c>
      <c r="R33" s="102">
        <f t="shared" si="1"/>
        <v>7.384615384615385</v>
      </c>
    </row>
    <row r="34" spans="1:18" x14ac:dyDescent="0.25">
      <c r="A34" s="73">
        <v>14501029</v>
      </c>
      <c r="B34" s="67" t="s">
        <v>42</v>
      </c>
      <c r="C34" s="68" t="s">
        <v>14</v>
      </c>
      <c r="D34" s="77">
        <v>8</v>
      </c>
      <c r="E34" s="77">
        <v>8</v>
      </c>
      <c r="F34" s="77">
        <v>8</v>
      </c>
      <c r="G34" s="77">
        <v>7</v>
      </c>
      <c r="H34" s="77">
        <v>7</v>
      </c>
      <c r="I34" s="77">
        <v>8</v>
      </c>
      <c r="J34" s="77">
        <v>8</v>
      </c>
      <c r="K34" s="77">
        <v>7</v>
      </c>
      <c r="L34" s="77">
        <v>8</v>
      </c>
      <c r="M34" s="77">
        <v>7</v>
      </c>
      <c r="N34" s="77">
        <v>7</v>
      </c>
      <c r="O34" s="77">
        <v>7</v>
      </c>
      <c r="P34" s="140">
        <v>8</v>
      </c>
      <c r="Q34" s="74">
        <f t="shared" si="0"/>
        <v>98</v>
      </c>
      <c r="R34" s="102">
        <f t="shared" si="1"/>
        <v>7.5384615384615383</v>
      </c>
    </row>
    <row r="35" spans="1:18" x14ac:dyDescent="0.25">
      <c r="A35" s="73">
        <v>14501030</v>
      </c>
      <c r="B35" s="67" t="s">
        <v>43</v>
      </c>
      <c r="C35" s="68" t="s">
        <v>14</v>
      </c>
      <c r="D35" s="77">
        <v>7</v>
      </c>
      <c r="E35" s="77">
        <v>6</v>
      </c>
      <c r="F35" s="77">
        <v>7</v>
      </c>
      <c r="G35" s="77">
        <v>6</v>
      </c>
      <c r="H35" s="77">
        <v>7</v>
      </c>
      <c r="I35" s="77">
        <v>6</v>
      </c>
      <c r="J35" s="77">
        <v>7</v>
      </c>
      <c r="K35" s="77">
        <v>6</v>
      </c>
      <c r="L35" s="77">
        <v>7</v>
      </c>
      <c r="M35" s="77">
        <v>7</v>
      </c>
      <c r="N35" s="77">
        <v>6</v>
      </c>
      <c r="O35" s="77">
        <v>7</v>
      </c>
      <c r="P35" s="140">
        <v>7</v>
      </c>
      <c r="Q35" s="74">
        <f t="shared" si="0"/>
        <v>86</v>
      </c>
      <c r="R35" s="102">
        <f t="shared" si="1"/>
        <v>6.615384615384615</v>
      </c>
    </row>
    <row r="36" spans="1:18" x14ac:dyDescent="0.25">
      <c r="A36" s="73">
        <v>14501031</v>
      </c>
      <c r="B36" s="67" t="s">
        <v>44</v>
      </c>
      <c r="C36" s="68" t="s">
        <v>14</v>
      </c>
      <c r="D36" s="77">
        <v>8</v>
      </c>
      <c r="E36" s="77">
        <v>7</v>
      </c>
      <c r="F36" s="77">
        <v>8</v>
      </c>
      <c r="G36" s="77">
        <v>7</v>
      </c>
      <c r="H36" s="77">
        <v>7</v>
      </c>
      <c r="I36" s="77">
        <v>7</v>
      </c>
      <c r="J36" s="77">
        <v>7</v>
      </c>
      <c r="K36" s="77">
        <v>8</v>
      </c>
      <c r="L36" s="77">
        <v>7</v>
      </c>
      <c r="M36" s="77">
        <v>7</v>
      </c>
      <c r="N36" s="77">
        <v>8</v>
      </c>
      <c r="O36" s="77">
        <v>8</v>
      </c>
      <c r="P36" s="140">
        <v>8</v>
      </c>
      <c r="Q36" s="74">
        <f t="shared" si="0"/>
        <v>97</v>
      </c>
      <c r="R36" s="102">
        <f t="shared" si="1"/>
        <v>7.4615384615384617</v>
      </c>
    </row>
    <row r="37" spans="1:18" x14ac:dyDescent="0.25">
      <c r="A37" s="73">
        <v>14501032</v>
      </c>
      <c r="B37" s="67" t="s">
        <v>46</v>
      </c>
      <c r="C37" s="68" t="s">
        <v>79</v>
      </c>
      <c r="D37" s="77">
        <v>8</v>
      </c>
      <c r="E37" s="77">
        <v>7</v>
      </c>
      <c r="F37" s="77">
        <v>6</v>
      </c>
      <c r="G37" s="77">
        <v>8</v>
      </c>
      <c r="H37" s="77">
        <v>6</v>
      </c>
      <c r="I37" s="77">
        <v>7</v>
      </c>
      <c r="J37" s="77">
        <v>7</v>
      </c>
      <c r="K37" s="77">
        <v>7</v>
      </c>
      <c r="L37" s="77">
        <v>8</v>
      </c>
      <c r="M37" s="77">
        <v>8</v>
      </c>
      <c r="N37" s="77">
        <v>7</v>
      </c>
      <c r="O37" s="77">
        <v>7</v>
      </c>
      <c r="P37" s="140">
        <v>8</v>
      </c>
      <c r="Q37" s="74">
        <f t="shared" si="0"/>
        <v>94</v>
      </c>
      <c r="R37" s="102">
        <f t="shared" si="1"/>
        <v>7.2307692307692308</v>
      </c>
    </row>
    <row r="38" spans="1:18" x14ac:dyDescent="0.25">
      <c r="A38" s="73">
        <v>14501033</v>
      </c>
      <c r="B38" s="67" t="s">
        <v>47</v>
      </c>
      <c r="C38" s="68" t="s">
        <v>79</v>
      </c>
      <c r="D38" s="77">
        <v>8</v>
      </c>
      <c r="E38" s="77">
        <v>8</v>
      </c>
      <c r="F38" s="77">
        <v>8</v>
      </c>
      <c r="G38" s="77">
        <v>8</v>
      </c>
      <c r="H38" s="77">
        <v>8</v>
      </c>
      <c r="I38" s="77">
        <v>7</v>
      </c>
      <c r="J38" s="77">
        <v>7</v>
      </c>
      <c r="K38" s="77">
        <v>8</v>
      </c>
      <c r="L38" s="77">
        <v>8</v>
      </c>
      <c r="M38" s="77">
        <v>7</v>
      </c>
      <c r="N38" s="77">
        <v>7</v>
      </c>
      <c r="O38" s="77">
        <v>8</v>
      </c>
      <c r="P38" s="140">
        <v>7</v>
      </c>
      <c r="Q38" s="74">
        <f t="shared" si="0"/>
        <v>99</v>
      </c>
      <c r="R38" s="102">
        <f t="shared" si="1"/>
        <v>7.615384615384615</v>
      </c>
    </row>
    <row r="39" spans="1:18" x14ac:dyDescent="0.25">
      <c r="A39" s="73">
        <v>14501034</v>
      </c>
      <c r="B39" s="98" t="s">
        <v>48</v>
      </c>
      <c r="C39" s="68" t="s">
        <v>79</v>
      </c>
      <c r="D39" s="77">
        <v>8</v>
      </c>
      <c r="E39" s="77">
        <v>6</v>
      </c>
      <c r="F39" s="77">
        <v>7</v>
      </c>
      <c r="G39" s="77">
        <v>6</v>
      </c>
      <c r="H39" s="77">
        <v>7</v>
      </c>
      <c r="I39" s="77">
        <v>7</v>
      </c>
      <c r="J39" s="77">
        <v>7</v>
      </c>
      <c r="K39" s="77">
        <v>8</v>
      </c>
      <c r="L39" s="77">
        <v>7</v>
      </c>
      <c r="M39" s="77">
        <v>7</v>
      </c>
      <c r="N39" s="77">
        <v>6</v>
      </c>
      <c r="O39" s="77">
        <v>7</v>
      </c>
      <c r="P39" s="140">
        <v>7</v>
      </c>
      <c r="Q39" s="74">
        <f t="shared" si="0"/>
        <v>90</v>
      </c>
      <c r="R39" s="102">
        <f t="shared" si="1"/>
        <v>6.9230769230769234</v>
      </c>
    </row>
    <row r="40" spans="1:18" x14ac:dyDescent="0.25">
      <c r="A40" s="73">
        <v>14501035</v>
      </c>
      <c r="B40" s="98" t="s">
        <v>49</v>
      </c>
      <c r="C40" s="68" t="s">
        <v>79</v>
      </c>
      <c r="D40" s="77">
        <v>7</v>
      </c>
      <c r="E40" s="77">
        <v>7</v>
      </c>
      <c r="F40" s="77">
        <v>8</v>
      </c>
      <c r="G40" s="77">
        <v>8</v>
      </c>
      <c r="H40" s="77">
        <v>8</v>
      </c>
      <c r="I40" s="77">
        <v>7</v>
      </c>
      <c r="J40" s="77">
        <v>7</v>
      </c>
      <c r="K40" s="77">
        <v>8</v>
      </c>
      <c r="L40" s="77">
        <v>8</v>
      </c>
      <c r="M40" s="77">
        <v>7</v>
      </c>
      <c r="N40" s="77">
        <v>8</v>
      </c>
      <c r="O40" s="77">
        <v>8</v>
      </c>
      <c r="P40" s="140">
        <v>7</v>
      </c>
      <c r="Q40" s="74">
        <f t="shared" si="0"/>
        <v>98</v>
      </c>
      <c r="R40" s="102">
        <f t="shared" si="1"/>
        <v>7.5384615384615383</v>
      </c>
    </row>
    <row r="41" spans="1:18" x14ac:dyDescent="0.25">
      <c r="A41" s="73">
        <v>14501036</v>
      </c>
      <c r="B41" s="98" t="s">
        <v>50</v>
      </c>
      <c r="C41" s="68" t="s">
        <v>79</v>
      </c>
      <c r="D41" s="77">
        <v>7</v>
      </c>
      <c r="E41" s="77">
        <v>7</v>
      </c>
      <c r="F41" s="77">
        <v>8</v>
      </c>
      <c r="G41" s="77">
        <v>8</v>
      </c>
      <c r="H41" s="77">
        <v>7</v>
      </c>
      <c r="I41" s="77">
        <v>7</v>
      </c>
      <c r="J41" s="77">
        <v>8</v>
      </c>
      <c r="K41" s="77">
        <v>8</v>
      </c>
      <c r="L41" s="77">
        <v>7</v>
      </c>
      <c r="M41" s="77">
        <v>7</v>
      </c>
      <c r="N41" s="77">
        <v>7</v>
      </c>
      <c r="O41" s="77">
        <v>8</v>
      </c>
      <c r="P41" s="140">
        <v>8</v>
      </c>
      <c r="Q41" s="74">
        <f t="shared" si="0"/>
        <v>97</v>
      </c>
      <c r="R41" s="102">
        <f t="shared" si="1"/>
        <v>7.4615384615384617</v>
      </c>
    </row>
    <row r="42" spans="1:18" x14ac:dyDescent="0.25">
      <c r="A42" s="73">
        <v>14501037</v>
      </c>
      <c r="B42" s="98" t="s">
        <v>51</v>
      </c>
      <c r="C42" s="68" t="s">
        <v>79</v>
      </c>
      <c r="D42" s="77">
        <v>8</v>
      </c>
      <c r="E42" s="77">
        <v>8</v>
      </c>
      <c r="F42" s="77">
        <v>8</v>
      </c>
      <c r="G42" s="77">
        <v>8</v>
      </c>
      <c r="H42" s="77">
        <v>7</v>
      </c>
      <c r="I42" s="77">
        <v>7</v>
      </c>
      <c r="J42" s="77">
        <v>7</v>
      </c>
      <c r="K42" s="77">
        <v>8</v>
      </c>
      <c r="L42" s="77">
        <v>7</v>
      </c>
      <c r="M42" s="77">
        <v>7</v>
      </c>
      <c r="N42" s="77">
        <v>7</v>
      </c>
      <c r="O42" s="77">
        <v>8</v>
      </c>
      <c r="P42" s="140">
        <v>7</v>
      </c>
      <c r="Q42" s="74">
        <f t="shared" si="0"/>
        <v>97</v>
      </c>
      <c r="R42" s="102">
        <f t="shared" si="1"/>
        <v>7.4615384615384617</v>
      </c>
    </row>
    <row r="43" spans="1:18" x14ac:dyDescent="0.25">
      <c r="A43" s="73">
        <v>14501038</v>
      </c>
      <c r="B43" s="98" t="s">
        <v>52</v>
      </c>
      <c r="C43" s="68" t="s">
        <v>79</v>
      </c>
      <c r="D43" s="77">
        <v>8</v>
      </c>
      <c r="E43" s="77">
        <v>8</v>
      </c>
      <c r="F43" s="77">
        <v>8</v>
      </c>
      <c r="G43" s="77">
        <v>8</v>
      </c>
      <c r="H43" s="77">
        <v>6</v>
      </c>
      <c r="I43" s="77">
        <v>6</v>
      </c>
      <c r="J43" s="77">
        <v>7</v>
      </c>
      <c r="K43" s="77">
        <v>8</v>
      </c>
      <c r="L43" s="77">
        <v>8</v>
      </c>
      <c r="M43" s="77">
        <v>7</v>
      </c>
      <c r="N43" s="77">
        <v>7</v>
      </c>
      <c r="O43" s="77">
        <v>7</v>
      </c>
      <c r="P43" s="140">
        <v>7</v>
      </c>
      <c r="Q43" s="74">
        <f t="shared" si="0"/>
        <v>95</v>
      </c>
      <c r="R43" s="102">
        <f t="shared" si="1"/>
        <v>7.3076923076923075</v>
      </c>
    </row>
    <row r="44" spans="1:18" x14ac:dyDescent="0.25">
      <c r="A44" s="73">
        <v>14501039</v>
      </c>
      <c r="B44" s="98" t="s">
        <v>53</v>
      </c>
      <c r="C44" s="68" t="s">
        <v>79</v>
      </c>
      <c r="D44" s="77">
        <v>7</v>
      </c>
      <c r="E44" s="77">
        <v>7</v>
      </c>
      <c r="F44" s="77">
        <v>7</v>
      </c>
      <c r="G44" s="77">
        <v>8</v>
      </c>
      <c r="H44" s="77">
        <v>6</v>
      </c>
      <c r="I44" s="77">
        <v>7</v>
      </c>
      <c r="J44" s="77">
        <v>7</v>
      </c>
      <c r="K44" s="77">
        <v>8</v>
      </c>
      <c r="L44" s="77">
        <v>7</v>
      </c>
      <c r="M44" s="77">
        <v>8</v>
      </c>
      <c r="N44" s="77">
        <v>8</v>
      </c>
      <c r="O44" s="77">
        <v>7</v>
      </c>
      <c r="P44" s="140">
        <v>8</v>
      </c>
      <c r="Q44" s="74">
        <f t="shared" si="0"/>
        <v>95</v>
      </c>
      <c r="R44" s="102">
        <f t="shared" si="1"/>
        <v>7.3076923076923075</v>
      </c>
    </row>
    <row r="45" spans="1:18" x14ac:dyDescent="0.25">
      <c r="A45" s="73">
        <v>14501040</v>
      </c>
      <c r="B45" s="98" t="s">
        <v>54</v>
      </c>
      <c r="C45" s="68" t="s">
        <v>79</v>
      </c>
      <c r="D45" s="77">
        <v>8</v>
      </c>
      <c r="E45" s="77">
        <v>8</v>
      </c>
      <c r="F45" s="77">
        <v>8</v>
      </c>
      <c r="G45" s="77">
        <v>7</v>
      </c>
      <c r="H45" s="77">
        <v>8</v>
      </c>
      <c r="I45" s="77">
        <v>7</v>
      </c>
      <c r="J45" s="77">
        <v>8</v>
      </c>
      <c r="K45" s="77">
        <v>7</v>
      </c>
      <c r="L45" s="77">
        <v>8</v>
      </c>
      <c r="M45" s="77">
        <v>7</v>
      </c>
      <c r="N45" s="77">
        <v>7</v>
      </c>
      <c r="O45" s="77">
        <v>7</v>
      </c>
      <c r="P45" s="140">
        <v>7</v>
      </c>
      <c r="Q45" s="74">
        <f t="shared" si="0"/>
        <v>97</v>
      </c>
      <c r="R45" s="102">
        <f t="shared" si="1"/>
        <v>7.4615384615384617</v>
      </c>
    </row>
    <row r="46" spans="1:18" x14ac:dyDescent="0.25">
      <c r="A46" s="73">
        <v>14501041</v>
      </c>
      <c r="B46" s="98" t="s">
        <v>55</v>
      </c>
      <c r="C46" s="68" t="s">
        <v>79</v>
      </c>
      <c r="D46" s="77">
        <v>7</v>
      </c>
      <c r="E46" s="77">
        <v>6</v>
      </c>
      <c r="F46" s="77">
        <v>7</v>
      </c>
      <c r="G46" s="77">
        <v>6</v>
      </c>
      <c r="H46" s="77">
        <v>8</v>
      </c>
      <c r="I46" s="77">
        <v>6</v>
      </c>
      <c r="J46" s="77">
        <v>7</v>
      </c>
      <c r="K46" s="77">
        <v>7</v>
      </c>
      <c r="L46" s="77">
        <v>7</v>
      </c>
      <c r="M46" s="77">
        <v>7</v>
      </c>
      <c r="N46" s="77">
        <v>6</v>
      </c>
      <c r="O46" s="77">
        <v>7</v>
      </c>
      <c r="P46" s="140">
        <v>7</v>
      </c>
      <c r="Q46" s="74">
        <f t="shared" si="0"/>
        <v>88</v>
      </c>
      <c r="R46" s="102">
        <f t="shared" si="1"/>
        <v>6.7692307692307692</v>
      </c>
    </row>
    <row r="47" spans="1:18" x14ac:dyDescent="0.25">
      <c r="A47" s="73">
        <v>14501042</v>
      </c>
      <c r="B47" s="98" t="s">
        <v>56</v>
      </c>
      <c r="C47" s="68" t="s">
        <v>79</v>
      </c>
      <c r="D47" s="77">
        <v>7</v>
      </c>
      <c r="E47" s="77">
        <v>7</v>
      </c>
      <c r="F47" s="77">
        <v>8</v>
      </c>
      <c r="G47" s="77">
        <v>8</v>
      </c>
      <c r="H47" s="77">
        <v>7</v>
      </c>
      <c r="I47" s="77">
        <v>8</v>
      </c>
      <c r="J47" s="77">
        <v>7</v>
      </c>
      <c r="K47" s="77">
        <v>8</v>
      </c>
      <c r="L47" s="77">
        <v>8</v>
      </c>
      <c r="M47" s="77">
        <v>7</v>
      </c>
      <c r="N47" s="77">
        <v>8</v>
      </c>
      <c r="O47" s="77">
        <v>8</v>
      </c>
      <c r="P47" s="140">
        <v>7</v>
      </c>
      <c r="Q47" s="74">
        <f t="shared" si="0"/>
        <v>98</v>
      </c>
      <c r="R47" s="102">
        <f t="shared" si="1"/>
        <v>7.5384615384615383</v>
      </c>
    </row>
    <row r="48" spans="1:18" x14ac:dyDescent="0.25">
      <c r="A48" s="73">
        <v>14501043</v>
      </c>
      <c r="B48" s="98" t="s">
        <v>57</v>
      </c>
      <c r="C48" s="68" t="s">
        <v>79</v>
      </c>
      <c r="D48" s="77">
        <v>8</v>
      </c>
      <c r="E48" s="77">
        <v>7</v>
      </c>
      <c r="F48" s="77">
        <v>7</v>
      </c>
      <c r="G48" s="77">
        <v>8</v>
      </c>
      <c r="H48" s="77">
        <v>6</v>
      </c>
      <c r="I48" s="77">
        <v>7</v>
      </c>
      <c r="J48" s="77">
        <v>8</v>
      </c>
      <c r="K48" s="77">
        <v>7</v>
      </c>
      <c r="L48" s="77">
        <v>8</v>
      </c>
      <c r="M48" s="77">
        <v>7</v>
      </c>
      <c r="N48" s="77">
        <v>7</v>
      </c>
      <c r="O48" s="77">
        <v>8</v>
      </c>
      <c r="P48" s="140">
        <v>7</v>
      </c>
      <c r="Q48" s="74">
        <f t="shared" si="0"/>
        <v>95</v>
      </c>
      <c r="R48" s="102">
        <f t="shared" si="1"/>
        <v>7.3076923076923075</v>
      </c>
    </row>
    <row r="49" spans="1:18" x14ac:dyDescent="0.25">
      <c r="A49" s="73">
        <v>14501044</v>
      </c>
      <c r="B49" s="98" t="s">
        <v>58</v>
      </c>
      <c r="C49" s="68" t="s">
        <v>79</v>
      </c>
      <c r="D49" s="77">
        <v>7</v>
      </c>
      <c r="E49" s="77">
        <v>7</v>
      </c>
      <c r="F49" s="77">
        <v>8</v>
      </c>
      <c r="G49" s="77">
        <v>8</v>
      </c>
      <c r="H49" s="77">
        <v>8</v>
      </c>
      <c r="I49" s="77">
        <v>7</v>
      </c>
      <c r="J49" s="77">
        <v>8</v>
      </c>
      <c r="K49" s="77">
        <v>8</v>
      </c>
      <c r="L49" s="77">
        <v>8</v>
      </c>
      <c r="M49" s="77">
        <v>7</v>
      </c>
      <c r="N49" s="77">
        <v>8</v>
      </c>
      <c r="O49" s="77">
        <v>8</v>
      </c>
      <c r="P49" s="140">
        <v>7</v>
      </c>
      <c r="Q49" s="74">
        <f t="shared" si="0"/>
        <v>99</v>
      </c>
      <c r="R49" s="102">
        <f t="shared" si="1"/>
        <v>7.615384615384615</v>
      </c>
    </row>
    <row r="50" spans="1:18" x14ac:dyDescent="0.25">
      <c r="A50" s="73">
        <v>14501045</v>
      </c>
      <c r="B50" s="98" t="s">
        <v>59</v>
      </c>
      <c r="C50" s="68" t="s">
        <v>79</v>
      </c>
      <c r="D50" s="77">
        <v>8</v>
      </c>
      <c r="E50" s="77">
        <v>7</v>
      </c>
      <c r="F50" s="77">
        <v>8</v>
      </c>
      <c r="G50" s="77">
        <v>8</v>
      </c>
      <c r="H50" s="77">
        <v>7</v>
      </c>
      <c r="I50" s="77">
        <v>7</v>
      </c>
      <c r="J50" s="77">
        <v>8</v>
      </c>
      <c r="K50" s="77">
        <v>8</v>
      </c>
      <c r="L50" s="77">
        <v>8</v>
      </c>
      <c r="M50" s="77">
        <v>7</v>
      </c>
      <c r="N50" s="77">
        <v>7</v>
      </c>
      <c r="O50" s="77">
        <v>8</v>
      </c>
      <c r="P50" s="140">
        <v>8</v>
      </c>
      <c r="Q50" s="74">
        <f t="shared" si="0"/>
        <v>99</v>
      </c>
      <c r="R50" s="102">
        <f t="shared" si="1"/>
        <v>7.615384615384615</v>
      </c>
    </row>
    <row r="51" spans="1:18" x14ac:dyDescent="0.25">
      <c r="A51" s="73">
        <v>14501046</v>
      </c>
      <c r="B51" s="98" t="s">
        <v>60</v>
      </c>
      <c r="C51" s="68" t="s">
        <v>79</v>
      </c>
      <c r="D51" s="77">
        <v>8</v>
      </c>
      <c r="E51" s="77">
        <v>7</v>
      </c>
      <c r="F51" s="77">
        <v>8</v>
      </c>
      <c r="G51" s="77">
        <v>8</v>
      </c>
      <c r="H51" s="77">
        <v>7</v>
      </c>
      <c r="I51" s="77">
        <v>7</v>
      </c>
      <c r="J51" s="77">
        <v>7</v>
      </c>
      <c r="K51" s="77">
        <v>8</v>
      </c>
      <c r="L51" s="77">
        <v>7</v>
      </c>
      <c r="M51" s="77">
        <v>8</v>
      </c>
      <c r="N51" s="77">
        <v>7</v>
      </c>
      <c r="O51" s="77">
        <v>8</v>
      </c>
      <c r="P51" s="140">
        <v>7</v>
      </c>
      <c r="Q51" s="74">
        <f t="shared" si="0"/>
        <v>97</v>
      </c>
      <c r="R51" s="102">
        <f t="shared" si="1"/>
        <v>7.4615384615384617</v>
      </c>
    </row>
    <row r="52" spans="1:18" x14ac:dyDescent="0.25">
      <c r="A52" s="73">
        <v>14501047</v>
      </c>
      <c r="B52" s="98" t="s">
        <v>61</v>
      </c>
      <c r="C52" s="68" t="s">
        <v>79</v>
      </c>
      <c r="D52" s="77">
        <v>8</v>
      </c>
      <c r="E52" s="77">
        <v>8</v>
      </c>
      <c r="F52" s="77">
        <v>7</v>
      </c>
      <c r="G52" s="77">
        <v>8</v>
      </c>
      <c r="H52" s="77">
        <v>6</v>
      </c>
      <c r="I52" s="77">
        <v>6</v>
      </c>
      <c r="J52" s="77">
        <v>7</v>
      </c>
      <c r="K52" s="77">
        <v>8</v>
      </c>
      <c r="L52" s="77">
        <v>8</v>
      </c>
      <c r="M52" s="77">
        <v>7</v>
      </c>
      <c r="N52" s="77">
        <v>8</v>
      </c>
      <c r="O52" s="77">
        <v>7</v>
      </c>
      <c r="P52" s="140">
        <v>7</v>
      </c>
      <c r="Q52" s="74">
        <f t="shared" si="0"/>
        <v>95</v>
      </c>
      <c r="R52" s="102">
        <f t="shared" si="1"/>
        <v>7.3076923076923075</v>
      </c>
    </row>
    <row r="53" spans="1:18" x14ac:dyDescent="0.25">
      <c r="A53" s="73">
        <v>14501048</v>
      </c>
      <c r="B53" s="98" t="s">
        <v>62</v>
      </c>
      <c r="C53" s="68" t="s">
        <v>79</v>
      </c>
      <c r="D53" s="77">
        <v>7</v>
      </c>
      <c r="E53" s="77">
        <v>7</v>
      </c>
      <c r="F53" s="77">
        <v>7</v>
      </c>
      <c r="G53" s="77">
        <v>6</v>
      </c>
      <c r="H53" s="77">
        <v>6</v>
      </c>
      <c r="I53" s="77">
        <v>7</v>
      </c>
      <c r="J53" s="77">
        <v>7</v>
      </c>
      <c r="K53" s="77">
        <v>8</v>
      </c>
      <c r="L53" s="77">
        <v>7</v>
      </c>
      <c r="M53" s="77">
        <v>8</v>
      </c>
      <c r="N53" s="77">
        <v>7</v>
      </c>
      <c r="O53" s="77">
        <v>8</v>
      </c>
      <c r="P53" s="140">
        <v>7</v>
      </c>
      <c r="Q53" s="74">
        <f t="shared" si="0"/>
        <v>92</v>
      </c>
      <c r="R53" s="102">
        <f t="shared" si="1"/>
        <v>7.0769230769230766</v>
      </c>
    </row>
    <row r="54" spans="1:18" x14ac:dyDescent="0.25">
      <c r="A54" s="73">
        <v>14501049</v>
      </c>
      <c r="B54" s="98" t="s">
        <v>63</v>
      </c>
      <c r="C54" s="68" t="s">
        <v>79</v>
      </c>
      <c r="D54" s="77">
        <v>8</v>
      </c>
      <c r="E54" s="77">
        <v>7</v>
      </c>
      <c r="F54" s="77">
        <v>8</v>
      </c>
      <c r="G54" s="77">
        <v>8</v>
      </c>
      <c r="H54" s="77">
        <v>7</v>
      </c>
      <c r="I54" s="77">
        <v>7</v>
      </c>
      <c r="J54" s="77">
        <v>8</v>
      </c>
      <c r="K54" s="77">
        <v>8</v>
      </c>
      <c r="L54" s="77">
        <v>7</v>
      </c>
      <c r="M54" s="77">
        <v>7</v>
      </c>
      <c r="N54" s="77">
        <v>8</v>
      </c>
      <c r="O54" s="77">
        <v>8</v>
      </c>
      <c r="P54" s="140">
        <v>8</v>
      </c>
      <c r="Q54" s="74">
        <f t="shared" si="0"/>
        <v>99</v>
      </c>
      <c r="R54" s="102">
        <f t="shared" si="1"/>
        <v>7.615384615384615</v>
      </c>
    </row>
    <row r="55" spans="1:18" x14ac:dyDescent="0.25">
      <c r="A55" s="73">
        <v>14501050</v>
      </c>
      <c r="B55" s="98" t="s">
        <v>64</v>
      </c>
      <c r="C55" s="68" t="s">
        <v>79</v>
      </c>
      <c r="D55" s="77">
        <v>7</v>
      </c>
      <c r="E55" s="77">
        <v>8</v>
      </c>
      <c r="F55" s="77">
        <v>8</v>
      </c>
      <c r="G55" s="77">
        <v>7</v>
      </c>
      <c r="H55" s="77">
        <v>7</v>
      </c>
      <c r="I55" s="77">
        <v>8</v>
      </c>
      <c r="J55" s="77">
        <v>7</v>
      </c>
      <c r="K55" s="77">
        <v>8</v>
      </c>
      <c r="L55" s="77">
        <v>8</v>
      </c>
      <c r="M55" s="77">
        <v>8</v>
      </c>
      <c r="N55" s="77">
        <v>7</v>
      </c>
      <c r="O55" s="77">
        <v>8</v>
      </c>
      <c r="P55" s="140">
        <v>7</v>
      </c>
      <c r="Q55" s="74">
        <f t="shared" si="0"/>
        <v>98</v>
      </c>
      <c r="R55" s="102">
        <f t="shared" si="1"/>
        <v>7.5384615384615383</v>
      </c>
    </row>
    <row r="56" spans="1:18" x14ac:dyDescent="0.25">
      <c r="A56" s="73">
        <v>14501051</v>
      </c>
      <c r="B56" s="98" t="s">
        <v>256</v>
      </c>
      <c r="C56" s="68" t="s">
        <v>79</v>
      </c>
      <c r="D56" s="77">
        <v>8</v>
      </c>
      <c r="E56" s="77">
        <v>7</v>
      </c>
      <c r="F56" s="77">
        <v>8</v>
      </c>
      <c r="G56" s="77">
        <v>8</v>
      </c>
      <c r="H56" s="77">
        <v>6</v>
      </c>
      <c r="I56" s="77">
        <v>6</v>
      </c>
      <c r="J56" s="77">
        <v>8</v>
      </c>
      <c r="K56" s="77">
        <v>8</v>
      </c>
      <c r="L56" s="77">
        <v>8</v>
      </c>
      <c r="M56" s="77">
        <v>8</v>
      </c>
      <c r="N56" s="77">
        <v>8</v>
      </c>
      <c r="O56" s="77">
        <v>8</v>
      </c>
      <c r="P56" s="140">
        <v>8</v>
      </c>
      <c r="Q56" s="74">
        <f t="shared" si="0"/>
        <v>99</v>
      </c>
      <c r="R56" s="102">
        <f t="shared" si="1"/>
        <v>7.615384615384615</v>
      </c>
    </row>
    <row r="57" spans="1:18" x14ac:dyDescent="0.25">
      <c r="A57" s="73">
        <v>14501052</v>
      </c>
      <c r="B57" s="98" t="s">
        <v>65</v>
      </c>
      <c r="C57" s="68" t="s">
        <v>79</v>
      </c>
      <c r="D57" s="77">
        <v>8</v>
      </c>
      <c r="E57" s="77">
        <v>6</v>
      </c>
      <c r="F57" s="77">
        <v>7</v>
      </c>
      <c r="G57" s="77">
        <v>6</v>
      </c>
      <c r="H57" s="77">
        <v>7</v>
      </c>
      <c r="I57" s="77">
        <v>7</v>
      </c>
      <c r="J57" s="77">
        <v>7</v>
      </c>
      <c r="K57" s="77">
        <v>8</v>
      </c>
      <c r="L57" s="77">
        <v>7</v>
      </c>
      <c r="M57" s="77">
        <v>7</v>
      </c>
      <c r="N57" s="77">
        <v>6</v>
      </c>
      <c r="O57" s="77">
        <v>8</v>
      </c>
      <c r="P57" s="140">
        <v>7</v>
      </c>
      <c r="Q57" s="74">
        <f t="shared" si="0"/>
        <v>91</v>
      </c>
      <c r="R57" s="102">
        <f t="shared" si="1"/>
        <v>7</v>
      </c>
    </row>
    <row r="58" spans="1:18" x14ac:dyDescent="0.25">
      <c r="A58" s="73">
        <v>14501053</v>
      </c>
      <c r="B58" s="98" t="s">
        <v>66</v>
      </c>
      <c r="C58" s="68" t="s">
        <v>79</v>
      </c>
      <c r="D58" s="77">
        <v>7</v>
      </c>
      <c r="E58" s="77">
        <v>7</v>
      </c>
      <c r="F58" s="77">
        <v>8</v>
      </c>
      <c r="G58" s="77">
        <v>8</v>
      </c>
      <c r="H58" s="77">
        <v>8</v>
      </c>
      <c r="I58" s="77">
        <v>7</v>
      </c>
      <c r="J58" s="77">
        <v>7</v>
      </c>
      <c r="K58" s="77">
        <v>8</v>
      </c>
      <c r="L58" s="77">
        <v>8</v>
      </c>
      <c r="M58" s="77">
        <v>7</v>
      </c>
      <c r="N58" s="77">
        <v>8</v>
      </c>
      <c r="O58" s="77">
        <v>8</v>
      </c>
      <c r="P58" s="140">
        <v>8</v>
      </c>
      <c r="Q58" s="74">
        <f t="shared" si="0"/>
        <v>99</v>
      </c>
      <c r="R58" s="102">
        <f t="shared" si="1"/>
        <v>7.615384615384615</v>
      </c>
    </row>
    <row r="59" spans="1:18" x14ac:dyDescent="0.25">
      <c r="A59" s="73">
        <v>14501054</v>
      </c>
      <c r="B59" s="98" t="s">
        <v>67</v>
      </c>
      <c r="C59" s="68" t="s">
        <v>79</v>
      </c>
      <c r="D59" s="77">
        <v>7</v>
      </c>
      <c r="E59" s="77">
        <v>7</v>
      </c>
      <c r="F59" s="77">
        <v>8</v>
      </c>
      <c r="G59" s="77">
        <v>8</v>
      </c>
      <c r="H59" s="77">
        <v>8</v>
      </c>
      <c r="I59" s="77">
        <v>7</v>
      </c>
      <c r="J59" s="77">
        <v>7</v>
      </c>
      <c r="K59" s="77">
        <v>8</v>
      </c>
      <c r="L59" s="77">
        <v>8</v>
      </c>
      <c r="M59" s="77">
        <v>7</v>
      </c>
      <c r="N59" s="77">
        <v>8</v>
      </c>
      <c r="O59" s="77">
        <v>8</v>
      </c>
      <c r="P59" s="140">
        <v>8</v>
      </c>
      <c r="Q59" s="74">
        <f t="shared" si="0"/>
        <v>99</v>
      </c>
      <c r="R59" s="102">
        <f t="shared" si="1"/>
        <v>7.615384615384615</v>
      </c>
    </row>
    <row r="60" spans="1:18" x14ac:dyDescent="0.25">
      <c r="A60" s="73">
        <v>14501055</v>
      </c>
      <c r="B60" s="98" t="s">
        <v>68</v>
      </c>
      <c r="C60" s="68" t="s">
        <v>79</v>
      </c>
      <c r="D60" s="76">
        <v>8</v>
      </c>
      <c r="E60" s="76">
        <v>8</v>
      </c>
      <c r="F60" s="77">
        <v>7</v>
      </c>
      <c r="G60" s="77">
        <v>7</v>
      </c>
      <c r="H60" s="77">
        <v>6</v>
      </c>
      <c r="I60" s="77">
        <v>7</v>
      </c>
      <c r="J60" s="77">
        <v>7</v>
      </c>
      <c r="K60" s="78">
        <v>6</v>
      </c>
      <c r="L60" s="77">
        <v>8</v>
      </c>
      <c r="M60" s="77">
        <v>8</v>
      </c>
      <c r="N60" s="77">
        <v>8</v>
      </c>
      <c r="O60" s="77">
        <v>7</v>
      </c>
      <c r="P60" s="140">
        <v>7</v>
      </c>
      <c r="Q60" s="74">
        <f t="shared" si="0"/>
        <v>94</v>
      </c>
      <c r="R60" s="102">
        <f t="shared" si="1"/>
        <v>7.2307692307692308</v>
      </c>
    </row>
    <row r="61" spans="1:18" x14ac:dyDescent="0.25">
      <c r="A61" s="73">
        <v>14501056</v>
      </c>
      <c r="B61" s="98" t="s">
        <v>69</v>
      </c>
      <c r="C61" s="68" t="s">
        <v>79</v>
      </c>
      <c r="D61" s="77">
        <v>8</v>
      </c>
      <c r="E61" s="77">
        <v>7</v>
      </c>
      <c r="F61" s="77">
        <v>8</v>
      </c>
      <c r="G61" s="77">
        <v>8</v>
      </c>
      <c r="H61" s="77">
        <v>7</v>
      </c>
      <c r="I61" s="77">
        <v>7</v>
      </c>
      <c r="J61" s="77">
        <v>8</v>
      </c>
      <c r="K61" s="77">
        <v>7</v>
      </c>
      <c r="L61" s="77">
        <v>8</v>
      </c>
      <c r="M61" s="77">
        <v>7</v>
      </c>
      <c r="N61" s="77">
        <v>7</v>
      </c>
      <c r="O61" s="77">
        <v>8</v>
      </c>
      <c r="P61" s="140">
        <v>8</v>
      </c>
      <c r="Q61" s="74">
        <f t="shared" si="0"/>
        <v>98</v>
      </c>
      <c r="R61" s="102">
        <f t="shared" si="1"/>
        <v>7.5384615384615383</v>
      </c>
    </row>
    <row r="62" spans="1:18" x14ac:dyDescent="0.25">
      <c r="A62" s="73">
        <v>14501057</v>
      </c>
      <c r="B62" s="98" t="s">
        <v>70</v>
      </c>
      <c r="C62" s="68" t="s">
        <v>79</v>
      </c>
      <c r="D62" s="77">
        <v>7</v>
      </c>
      <c r="E62" s="77">
        <v>8</v>
      </c>
      <c r="F62" s="77">
        <v>8</v>
      </c>
      <c r="G62" s="77">
        <v>7</v>
      </c>
      <c r="H62" s="77">
        <v>7</v>
      </c>
      <c r="I62" s="77">
        <v>7</v>
      </c>
      <c r="J62" s="77">
        <v>7</v>
      </c>
      <c r="K62" s="77">
        <v>8</v>
      </c>
      <c r="L62" s="77">
        <v>7</v>
      </c>
      <c r="M62" s="77">
        <v>8</v>
      </c>
      <c r="N62" s="77">
        <v>7</v>
      </c>
      <c r="O62" s="77">
        <v>8</v>
      </c>
      <c r="P62" s="140">
        <v>8</v>
      </c>
      <c r="Q62" s="74">
        <f t="shared" si="0"/>
        <v>97</v>
      </c>
      <c r="R62" s="102">
        <f t="shared" si="1"/>
        <v>7.4615384615384617</v>
      </c>
    </row>
    <row r="63" spans="1:18" x14ac:dyDescent="0.25">
      <c r="A63" s="73">
        <v>14501058</v>
      </c>
      <c r="B63" s="98" t="s">
        <v>71</v>
      </c>
      <c r="C63" s="68" t="s">
        <v>79</v>
      </c>
      <c r="D63" s="77">
        <v>7</v>
      </c>
      <c r="E63" s="77">
        <v>8</v>
      </c>
      <c r="F63" s="77">
        <v>8</v>
      </c>
      <c r="G63" s="77">
        <v>8</v>
      </c>
      <c r="H63" s="77">
        <v>6</v>
      </c>
      <c r="I63" s="77">
        <v>6</v>
      </c>
      <c r="J63" s="77">
        <v>7</v>
      </c>
      <c r="K63" s="77">
        <v>8</v>
      </c>
      <c r="L63" s="77">
        <v>8</v>
      </c>
      <c r="M63" s="77">
        <v>7</v>
      </c>
      <c r="N63" s="77">
        <v>8</v>
      </c>
      <c r="O63" s="77">
        <v>7</v>
      </c>
      <c r="P63" s="140">
        <v>7</v>
      </c>
      <c r="Q63" s="74">
        <f t="shared" si="0"/>
        <v>95</v>
      </c>
      <c r="R63" s="102">
        <f t="shared" si="1"/>
        <v>7.3076923076923075</v>
      </c>
    </row>
    <row r="64" spans="1:18" x14ac:dyDescent="0.25">
      <c r="A64" s="73">
        <v>14501059</v>
      </c>
      <c r="B64" s="98" t="s">
        <v>72</v>
      </c>
      <c r="C64" s="68" t="s">
        <v>79</v>
      </c>
      <c r="D64" s="77">
        <v>7</v>
      </c>
      <c r="E64" s="77">
        <v>7</v>
      </c>
      <c r="F64" s="77">
        <v>8</v>
      </c>
      <c r="G64" s="77">
        <v>8</v>
      </c>
      <c r="H64" s="77">
        <v>7</v>
      </c>
      <c r="I64" s="77">
        <v>8</v>
      </c>
      <c r="J64" s="77">
        <v>8</v>
      </c>
      <c r="K64" s="77">
        <v>8</v>
      </c>
      <c r="L64" s="77">
        <v>8</v>
      </c>
      <c r="M64" s="77">
        <v>8</v>
      </c>
      <c r="N64" s="77">
        <v>7</v>
      </c>
      <c r="O64" s="77">
        <v>8</v>
      </c>
      <c r="P64" s="140">
        <v>8</v>
      </c>
      <c r="Q64" s="74">
        <f t="shared" si="0"/>
        <v>100</v>
      </c>
      <c r="R64" s="102">
        <f t="shared" si="1"/>
        <v>7.6923076923076925</v>
      </c>
    </row>
    <row r="65" spans="1:18" x14ac:dyDescent="0.25">
      <c r="A65" s="73">
        <v>14501060</v>
      </c>
      <c r="B65" s="98" t="s">
        <v>73</v>
      </c>
      <c r="C65" s="68" t="s">
        <v>79</v>
      </c>
      <c r="D65" s="77">
        <v>8</v>
      </c>
      <c r="E65" s="77">
        <v>7</v>
      </c>
      <c r="F65" s="77">
        <v>7</v>
      </c>
      <c r="G65" s="77">
        <v>8</v>
      </c>
      <c r="H65" s="77">
        <v>7</v>
      </c>
      <c r="I65" s="77">
        <v>6</v>
      </c>
      <c r="J65" s="77">
        <v>8</v>
      </c>
      <c r="K65" s="77">
        <v>7</v>
      </c>
      <c r="L65" s="77">
        <v>8</v>
      </c>
      <c r="M65" s="77">
        <v>7</v>
      </c>
      <c r="N65" s="77">
        <v>7</v>
      </c>
      <c r="O65" s="77">
        <v>8</v>
      </c>
      <c r="P65" s="140">
        <v>7</v>
      </c>
      <c r="Q65" s="74">
        <f t="shared" si="0"/>
        <v>95</v>
      </c>
      <c r="R65" s="102">
        <f t="shared" si="1"/>
        <v>7.3076923076923075</v>
      </c>
    </row>
    <row r="66" spans="1:18" x14ac:dyDescent="0.25">
      <c r="A66" s="73">
        <v>14501061</v>
      </c>
      <c r="B66" s="98" t="s">
        <v>74</v>
      </c>
      <c r="C66" s="68" t="s">
        <v>79</v>
      </c>
      <c r="D66" s="77">
        <v>8</v>
      </c>
      <c r="E66" s="77">
        <v>8</v>
      </c>
      <c r="F66" s="77">
        <v>8</v>
      </c>
      <c r="G66" s="77">
        <v>7</v>
      </c>
      <c r="H66" s="77">
        <v>7</v>
      </c>
      <c r="I66" s="77">
        <v>8</v>
      </c>
      <c r="J66" s="77">
        <v>8</v>
      </c>
      <c r="K66" s="77">
        <v>7</v>
      </c>
      <c r="L66" s="77">
        <v>8</v>
      </c>
      <c r="M66" s="77">
        <v>7</v>
      </c>
      <c r="N66" s="77">
        <v>7</v>
      </c>
      <c r="O66" s="77">
        <v>8</v>
      </c>
      <c r="P66" s="140">
        <v>7</v>
      </c>
      <c r="Q66" s="74">
        <f t="shared" si="0"/>
        <v>98</v>
      </c>
      <c r="R66" s="102">
        <f t="shared" si="1"/>
        <v>7.5384615384615383</v>
      </c>
    </row>
    <row r="67" spans="1:18" x14ac:dyDescent="0.25">
      <c r="A67" s="73">
        <v>14501062</v>
      </c>
      <c r="B67" s="98" t="s">
        <v>75</v>
      </c>
      <c r="C67" s="68" t="s">
        <v>79</v>
      </c>
      <c r="D67" s="77">
        <v>7</v>
      </c>
      <c r="E67" s="77">
        <v>8</v>
      </c>
      <c r="F67" s="77">
        <v>7</v>
      </c>
      <c r="G67" s="77">
        <v>6</v>
      </c>
      <c r="H67" s="77">
        <v>7</v>
      </c>
      <c r="I67" s="77">
        <v>6</v>
      </c>
      <c r="J67" s="77">
        <v>8</v>
      </c>
      <c r="K67" s="77">
        <v>7</v>
      </c>
      <c r="L67" s="77">
        <v>7</v>
      </c>
      <c r="M67" s="77">
        <v>7</v>
      </c>
      <c r="N67" s="77">
        <v>8</v>
      </c>
      <c r="O67" s="77">
        <v>7</v>
      </c>
      <c r="P67" s="140">
        <v>7</v>
      </c>
      <c r="Q67" s="74">
        <f t="shared" si="0"/>
        <v>92</v>
      </c>
      <c r="R67" s="102">
        <f t="shared" si="1"/>
        <v>7.0769230769230766</v>
      </c>
    </row>
    <row r="68" spans="1:18" x14ac:dyDescent="0.25">
      <c r="A68" s="73">
        <v>14501063</v>
      </c>
      <c r="B68" s="98" t="s">
        <v>76</v>
      </c>
      <c r="C68" s="68" t="s">
        <v>79</v>
      </c>
      <c r="D68" s="77">
        <v>8</v>
      </c>
      <c r="E68" s="77">
        <v>7</v>
      </c>
      <c r="F68" s="77">
        <v>8</v>
      </c>
      <c r="G68" s="77">
        <v>8</v>
      </c>
      <c r="H68" s="77">
        <v>7</v>
      </c>
      <c r="I68" s="77">
        <v>9</v>
      </c>
      <c r="J68" s="77">
        <v>8</v>
      </c>
      <c r="K68" s="77">
        <v>8</v>
      </c>
      <c r="L68" s="77">
        <v>8</v>
      </c>
      <c r="M68" s="77">
        <v>8</v>
      </c>
      <c r="N68" s="77">
        <v>8</v>
      </c>
      <c r="O68" s="77">
        <v>8</v>
      </c>
      <c r="P68" s="140">
        <v>7</v>
      </c>
      <c r="Q68" s="74">
        <f t="shared" si="0"/>
        <v>102</v>
      </c>
      <c r="R68" s="102">
        <f t="shared" si="1"/>
        <v>7.8461538461538458</v>
      </c>
    </row>
    <row r="69" spans="1:18" x14ac:dyDescent="0.25">
      <c r="A69" s="73">
        <v>14501064</v>
      </c>
      <c r="B69" s="98" t="s">
        <v>127</v>
      </c>
      <c r="C69" s="68" t="s">
        <v>157</v>
      </c>
      <c r="D69" s="76">
        <v>8</v>
      </c>
      <c r="E69" s="76">
        <v>8</v>
      </c>
      <c r="F69" s="77">
        <v>7</v>
      </c>
      <c r="G69" s="77">
        <v>7</v>
      </c>
      <c r="H69" s="77">
        <v>7</v>
      </c>
      <c r="I69" s="77">
        <v>8</v>
      </c>
      <c r="J69" s="77">
        <v>8</v>
      </c>
      <c r="K69" s="78">
        <v>7</v>
      </c>
      <c r="L69" s="77">
        <v>8</v>
      </c>
      <c r="M69" s="77">
        <v>8</v>
      </c>
      <c r="N69" s="77">
        <v>8</v>
      </c>
      <c r="O69" s="77">
        <v>7</v>
      </c>
      <c r="P69" s="140">
        <v>8</v>
      </c>
      <c r="Q69" s="74">
        <f t="shared" si="0"/>
        <v>99</v>
      </c>
      <c r="R69" s="102">
        <f t="shared" si="1"/>
        <v>7.615384615384615</v>
      </c>
    </row>
    <row r="70" spans="1:18" x14ac:dyDescent="0.25">
      <c r="A70" s="73">
        <v>14501065</v>
      </c>
      <c r="B70" s="98" t="s">
        <v>128</v>
      </c>
      <c r="C70" s="68" t="s">
        <v>157</v>
      </c>
      <c r="D70" s="77">
        <v>9</v>
      </c>
      <c r="E70" s="77">
        <v>8</v>
      </c>
      <c r="F70" s="77">
        <v>8</v>
      </c>
      <c r="G70" s="77">
        <v>8</v>
      </c>
      <c r="H70" s="77">
        <v>7</v>
      </c>
      <c r="I70" s="77">
        <v>8</v>
      </c>
      <c r="J70" s="77">
        <v>8</v>
      </c>
      <c r="K70" s="77">
        <v>8</v>
      </c>
      <c r="L70" s="77">
        <v>8</v>
      </c>
      <c r="M70" s="77">
        <v>8</v>
      </c>
      <c r="N70" s="77">
        <v>8</v>
      </c>
      <c r="O70" s="77">
        <v>8</v>
      </c>
      <c r="P70" s="140">
        <v>8</v>
      </c>
      <c r="Q70" s="74">
        <f t="shared" si="0"/>
        <v>104</v>
      </c>
      <c r="R70" s="102">
        <f t="shared" si="1"/>
        <v>8</v>
      </c>
    </row>
    <row r="71" spans="1:18" x14ac:dyDescent="0.25">
      <c r="A71" s="75">
        <v>14501066</v>
      </c>
      <c r="B71" s="98" t="s">
        <v>129</v>
      </c>
      <c r="C71" s="68" t="s">
        <v>157</v>
      </c>
      <c r="D71" s="77">
        <v>7</v>
      </c>
      <c r="E71" s="77">
        <v>8</v>
      </c>
      <c r="F71" s="77">
        <v>8</v>
      </c>
      <c r="G71" s="77">
        <v>8</v>
      </c>
      <c r="H71" s="77">
        <v>7</v>
      </c>
      <c r="I71" s="77">
        <v>7</v>
      </c>
      <c r="J71" s="77">
        <v>8</v>
      </c>
      <c r="K71" s="77">
        <v>8</v>
      </c>
      <c r="L71" s="77">
        <v>7</v>
      </c>
      <c r="M71" s="77">
        <v>7</v>
      </c>
      <c r="N71" s="77">
        <v>7</v>
      </c>
      <c r="O71" s="77">
        <v>8</v>
      </c>
      <c r="P71" s="140">
        <v>7</v>
      </c>
      <c r="Q71" s="74">
        <f t="shared" ref="Q71:Q134" si="2">SUM(D71:P71)</f>
        <v>97</v>
      </c>
      <c r="R71" s="102">
        <f t="shared" ref="R71:R134" si="3">AVERAGE(D71:P71)</f>
        <v>7.4615384615384617</v>
      </c>
    </row>
    <row r="72" spans="1:18" x14ac:dyDescent="0.25">
      <c r="A72" s="75">
        <v>14501067</v>
      </c>
      <c r="B72" s="98" t="s">
        <v>130</v>
      </c>
      <c r="C72" s="68" t="s">
        <v>157</v>
      </c>
      <c r="D72" s="77">
        <v>8</v>
      </c>
      <c r="E72" s="77">
        <v>8</v>
      </c>
      <c r="F72" s="77">
        <v>8</v>
      </c>
      <c r="G72" s="77">
        <v>8</v>
      </c>
      <c r="H72" s="77">
        <v>6</v>
      </c>
      <c r="I72" s="77">
        <v>8</v>
      </c>
      <c r="J72" s="77">
        <v>7</v>
      </c>
      <c r="K72" s="77">
        <v>8</v>
      </c>
      <c r="L72" s="77">
        <v>8</v>
      </c>
      <c r="M72" s="77">
        <v>7</v>
      </c>
      <c r="N72" s="77">
        <v>7</v>
      </c>
      <c r="O72" s="77">
        <v>7</v>
      </c>
      <c r="P72" s="140">
        <v>7</v>
      </c>
      <c r="Q72" s="74">
        <f t="shared" si="2"/>
        <v>97</v>
      </c>
      <c r="R72" s="102">
        <f t="shared" si="3"/>
        <v>7.4615384615384617</v>
      </c>
    </row>
    <row r="73" spans="1:18" x14ac:dyDescent="0.25">
      <c r="A73" s="75">
        <v>14501068</v>
      </c>
      <c r="B73" s="98" t="s">
        <v>131</v>
      </c>
      <c r="C73" s="68" t="s">
        <v>157</v>
      </c>
      <c r="D73" s="77">
        <v>9</v>
      </c>
      <c r="E73" s="77">
        <v>8</v>
      </c>
      <c r="F73" s="77">
        <v>8</v>
      </c>
      <c r="G73" s="77">
        <v>8</v>
      </c>
      <c r="H73" s="77">
        <v>7</v>
      </c>
      <c r="I73" s="77">
        <v>7</v>
      </c>
      <c r="J73" s="77">
        <v>8</v>
      </c>
      <c r="K73" s="77">
        <v>8</v>
      </c>
      <c r="L73" s="77">
        <v>8</v>
      </c>
      <c r="M73" s="77">
        <v>8</v>
      </c>
      <c r="N73" s="77">
        <v>8</v>
      </c>
      <c r="O73" s="77">
        <v>8</v>
      </c>
      <c r="P73" s="140">
        <v>8</v>
      </c>
      <c r="Q73" s="74">
        <f t="shared" si="2"/>
        <v>103</v>
      </c>
      <c r="R73" s="102">
        <f t="shared" si="3"/>
        <v>7.9230769230769234</v>
      </c>
    </row>
    <row r="74" spans="1:18" x14ac:dyDescent="0.25">
      <c r="A74" s="75">
        <v>14501069</v>
      </c>
      <c r="B74" s="98" t="s">
        <v>132</v>
      </c>
      <c r="C74" s="68" t="s">
        <v>157</v>
      </c>
      <c r="D74" s="77">
        <v>7</v>
      </c>
      <c r="E74" s="77">
        <v>7</v>
      </c>
      <c r="F74" s="77">
        <v>7</v>
      </c>
      <c r="G74" s="77">
        <v>8</v>
      </c>
      <c r="H74" s="77">
        <v>7</v>
      </c>
      <c r="I74" s="77">
        <v>7</v>
      </c>
      <c r="J74" s="77">
        <v>7</v>
      </c>
      <c r="K74" s="77">
        <v>7</v>
      </c>
      <c r="L74" s="77">
        <v>8</v>
      </c>
      <c r="M74" s="77">
        <v>7</v>
      </c>
      <c r="N74" s="77">
        <v>7</v>
      </c>
      <c r="O74" s="77">
        <v>8</v>
      </c>
      <c r="P74" s="140">
        <v>7</v>
      </c>
      <c r="Q74" s="74">
        <f t="shared" si="2"/>
        <v>94</v>
      </c>
      <c r="R74" s="102">
        <f t="shared" si="3"/>
        <v>7.2307692307692308</v>
      </c>
    </row>
    <row r="75" spans="1:18" x14ac:dyDescent="0.25">
      <c r="A75" s="75">
        <v>14501070</v>
      </c>
      <c r="B75" s="98" t="s">
        <v>133</v>
      </c>
      <c r="C75" s="68" t="s">
        <v>157</v>
      </c>
      <c r="D75" s="77">
        <v>7</v>
      </c>
      <c r="E75" s="77">
        <v>8</v>
      </c>
      <c r="F75" s="77">
        <v>8</v>
      </c>
      <c r="G75" s="77">
        <v>8</v>
      </c>
      <c r="H75" s="77">
        <v>7</v>
      </c>
      <c r="I75" s="77">
        <v>7</v>
      </c>
      <c r="J75" s="77">
        <v>8</v>
      </c>
      <c r="K75" s="77">
        <v>8</v>
      </c>
      <c r="L75" s="77">
        <v>7</v>
      </c>
      <c r="M75" s="77">
        <v>7</v>
      </c>
      <c r="N75" s="77">
        <v>7</v>
      </c>
      <c r="O75" s="77">
        <v>8</v>
      </c>
      <c r="P75" s="140">
        <v>8</v>
      </c>
      <c r="Q75" s="74">
        <f t="shared" si="2"/>
        <v>98</v>
      </c>
      <c r="R75" s="102">
        <f t="shared" si="3"/>
        <v>7.5384615384615383</v>
      </c>
    </row>
    <row r="76" spans="1:18" x14ac:dyDescent="0.25">
      <c r="A76" s="75">
        <v>14501071</v>
      </c>
      <c r="B76" s="98" t="s">
        <v>134</v>
      </c>
      <c r="C76" s="68" t="s">
        <v>157</v>
      </c>
      <c r="D76" s="77">
        <v>8</v>
      </c>
      <c r="E76" s="77" t="s">
        <v>265</v>
      </c>
      <c r="F76" s="77" t="s">
        <v>265</v>
      </c>
      <c r="G76" s="77" t="s">
        <v>265</v>
      </c>
      <c r="H76" s="77">
        <v>6</v>
      </c>
      <c r="I76" s="77">
        <v>6</v>
      </c>
      <c r="J76" s="77">
        <v>8</v>
      </c>
      <c r="K76" s="77">
        <v>8</v>
      </c>
      <c r="L76" s="77" t="s">
        <v>265</v>
      </c>
      <c r="M76" s="77" t="s">
        <v>265</v>
      </c>
      <c r="N76" s="77" t="s">
        <v>265</v>
      </c>
      <c r="O76" s="77" t="s">
        <v>265</v>
      </c>
      <c r="P76" s="140" t="s">
        <v>266</v>
      </c>
      <c r="Q76" s="74">
        <f t="shared" si="2"/>
        <v>36</v>
      </c>
      <c r="R76" s="102">
        <f t="shared" si="3"/>
        <v>7.2</v>
      </c>
    </row>
    <row r="77" spans="1:18" x14ac:dyDescent="0.25">
      <c r="A77" s="75">
        <v>14501072</v>
      </c>
      <c r="B77" s="98" t="s">
        <v>135</v>
      </c>
      <c r="C77" s="68" t="s">
        <v>157</v>
      </c>
      <c r="D77" s="77">
        <v>8</v>
      </c>
      <c r="E77" s="77">
        <v>8</v>
      </c>
      <c r="F77" s="77">
        <v>8</v>
      </c>
      <c r="G77" s="77">
        <v>7</v>
      </c>
      <c r="H77" s="77">
        <v>6</v>
      </c>
      <c r="I77" s="77">
        <v>8</v>
      </c>
      <c r="J77" s="77">
        <v>8</v>
      </c>
      <c r="K77" s="77">
        <v>9</v>
      </c>
      <c r="L77" s="77">
        <v>7</v>
      </c>
      <c r="M77" s="77">
        <v>7</v>
      </c>
      <c r="N77" s="77">
        <v>7</v>
      </c>
      <c r="O77" s="77">
        <v>7</v>
      </c>
      <c r="P77" s="140">
        <v>7</v>
      </c>
      <c r="Q77" s="74">
        <f t="shared" si="2"/>
        <v>97</v>
      </c>
      <c r="R77" s="102">
        <f t="shared" si="3"/>
        <v>7.4615384615384617</v>
      </c>
    </row>
    <row r="78" spans="1:18" x14ac:dyDescent="0.25">
      <c r="A78" s="75">
        <v>14501073</v>
      </c>
      <c r="B78" s="98" t="s">
        <v>136</v>
      </c>
      <c r="C78" s="68" t="s">
        <v>157</v>
      </c>
      <c r="D78" s="77">
        <v>8</v>
      </c>
      <c r="E78" s="77">
        <v>7</v>
      </c>
      <c r="F78" s="77">
        <v>8</v>
      </c>
      <c r="G78" s="77">
        <v>7</v>
      </c>
      <c r="H78" s="77">
        <v>7</v>
      </c>
      <c r="I78" s="77">
        <v>7</v>
      </c>
      <c r="J78" s="77">
        <v>8</v>
      </c>
      <c r="K78" s="77">
        <v>7</v>
      </c>
      <c r="L78" s="77">
        <v>8</v>
      </c>
      <c r="M78" s="77">
        <v>7</v>
      </c>
      <c r="N78" s="77">
        <v>7</v>
      </c>
      <c r="O78" s="77">
        <v>7</v>
      </c>
      <c r="P78" s="140">
        <v>8</v>
      </c>
      <c r="Q78" s="74">
        <f t="shared" si="2"/>
        <v>96</v>
      </c>
      <c r="R78" s="102">
        <f t="shared" si="3"/>
        <v>7.384615384615385</v>
      </c>
    </row>
    <row r="79" spans="1:18" x14ac:dyDescent="0.25">
      <c r="A79" s="75">
        <v>14501074</v>
      </c>
      <c r="B79" s="98" t="s">
        <v>137</v>
      </c>
      <c r="C79" s="68" t="s">
        <v>157</v>
      </c>
      <c r="D79" s="77">
        <v>8</v>
      </c>
      <c r="E79" s="77">
        <v>8</v>
      </c>
      <c r="F79" s="77">
        <v>9</v>
      </c>
      <c r="G79" s="77">
        <v>8</v>
      </c>
      <c r="H79" s="77">
        <v>8</v>
      </c>
      <c r="I79" s="77">
        <v>8</v>
      </c>
      <c r="J79" s="77">
        <v>7</v>
      </c>
      <c r="K79" s="77">
        <v>8</v>
      </c>
      <c r="L79" s="77">
        <v>8</v>
      </c>
      <c r="M79" s="77">
        <v>8</v>
      </c>
      <c r="N79" s="77">
        <v>8</v>
      </c>
      <c r="O79" s="77">
        <v>8</v>
      </c>
      <c r="P79" s="140">
        <v>9</v>
      </c>
      <c r="Q79" s="74">
        <f t="shared" si="2"/>
        <v>105</v>
      </c>
      <c r="R79" s="102">
        <f t="shared" si="3"/>
        <v>8.0769230769230766</v>
      </c>
    </row>
    <row r="80" spans="1:18" x14ac:dyDescent="0.25">
      <c r="A80" s="75">
        <v>14501075</v>
      </c>
      <c r="B80" s="98" t="s">
        <v>138</v>
      </c>
      <c r="C80" s="68" t="s">
        <v>157</v>
      </c>
      <c r="D80" s="77">
        <v>7</v>
      </c>
      <c r="E80" s="77">
        <v>7</v>
      </c>
      <c r="F80" s="77">
        <v>8</v>
      </c>
      <c r="G80" s="77">
        <v>8</v>
      </c>
      <c r="H80" s="77">
        <v>8</v>
      </c>
      <c r="I80" s="77">
        <v>7</v>
      </c>
      <c r="J80" s="77">
        <v>7</v>
      </c>
      <c r="K80" s="77">
        <v>8</v>
      </c>
      <c r="L80" s="77">
        <v>8</v>
      </c>
      <c r="M80" s="77">
        <v>8</v>
      </c>
      <c r="N80" s="77">
        <v>8</v>
      </c>
      <c r="O80" s="77">
        <v>8</v>
      </c>
      <c r="P80" s="140">
        <v>7</v>
      </c>
      <c r="Q80" s="74">
        <f t="shared" si="2"/>
        <v>99</v>
      </c>
      <c r="R80" s="102">
        <f t="shared" si="3"/>
        <v>7.615384615384615</v>
      </c>
    </row>
    <row r="81" spans="1:18" x14ac:dyDescent="0.25">
      <c r="A81" s="75">
        <v>14501076</v>
      </c>
      <c r="B81" s="98" t="s">
        <v>139</v>
      </c>
      <c r="C81" s="68" t="s">
        <v>157</v>
      </c>
      <c r="D81" s="76">
        <v>8</v>
      </c>
      <c r="E81" s="76">
        <v>8</v>
      </c>
      <c r="F81" s="77">
        <v>8</v>
      </c>
      <c r="G81" s="77">
        <v>7</v>
      </c>
      <c r="H81" s="77">
        <v>7</v>
      </c>
      <c r="I81" s="77">
        <v>7</v>
      </c>
      <c r="J81" s="77">
        <v>7</v>
      </c>
      <c r="K81" s="78">
        <v>7</v>
      </c>
      <c r="L81" s="77">
        <v>8</v>
      </c>
      <c r="M81" s="77">
        <v>8</v>
      </c>
      <c r="N81" s="77">
        <v>8</v>
      </c>
      <c r="O81" s="77">
        <v>7</v>
      </c>
      <c r="P81" s="140">
        <v>8</v>
      </c>
      <c r="Q81" s="74">
        <f t="shared" si="2"/>
        <v>98</v>
      </c>
      <c r="R81" s="102">
        <f t="shared" si="3"/>
        <v>7.5384615384615383</v>
      </c>
    </row>
    <row r="82" spans="1:18" x14ac:dyDescent="0.25">
      <c r="A82" s="75">
        <v>14501077</v>
      </c>
      <c r="B82" s="98" t="s">
        <v>140</v>
      </c>
      <c r="C82" s="68" t="s">
        <v>157</v>
      </c>
      <c r="D82" s="77">
        <v>8</v>
      </c>
      <c r="E82" s="77">
        <v>7</v>
      </c>
      <c r="F82" s="77">
        <v>8</v>
      </c>
      <c r="G82" s="77">
        <v>8</v>
      </c>
      <c r="H82" s="77">
        <v>7</v>
      </c>
      <c r="I82" s="77">
        <v>7</v>
      </c>
      <c r="J82" s="77">
        <v>8</v>
      </c>
      <c r="K82" s="77">
        <v>8</v>
      </c>
      <c r="L82" s="77">
        <v>8</v>
      </c>
      <c r="M82" s="77">
        <v>7</v>
      </c>
      <c r="N82" s="77">
        <v>7</v>
      </c>
      <c r="O82" s="77">
        <v>8</v>
      </c>
      <c r="P82" s="140">
        <v>8</v>
      </c>
      <c r="Q82" s="74">
        <f t="shared" si="2"/>
        <v>99</v>
      </c>
      <c r="R82" s="102">
        <f t="shared" si="3"/>
        <v>7.615384615384615</v>
      </c>
    </row>
    <row r="83" spans="1:18" x14ac:dyDescent="0.25">
      <c r="A83" s="75">
        <v>14501078</v>
      </c>
      <c r="B83" s="98" t="s">
        <v>141</v>
      </c>
      <c r="C83" s="68" t="s">
        <v>157</v>
      </c>
      <c r="D83" s="77">
        <v>8</v>
      </c>
      <c r="E83" s="77">
        <v>8</v>
      </c>
      <c r="F83" s="77">
        <v>8</v>
      </c>
      <c r="G83" s="77">
        <v>8</v>
      </c>
      <c r="H83" s="77">
        <v>7</v>
      </c>
      <c r="I83" s="77">
        <v>7</v>
      </c>
      <c r="J83" s="77">
        <v>7</v>
      </c>
      <c r="K83" s="77">
        <v>8</v>
      </c>
      <c r="L83" s="77">
        <v>7</v>
      </c>
      <c r="M83" s="77">
        <v>8</v>
      </c>
      <c r="N83" s="77">
        <v>8</v>
      </c>
      <c r="O83" s="77">
        <v>8</v>
      </c>
      <c r="P83" s="140">
        <v>7</v>
      </c>
      <c r="Q83" s="74">
        <f t="shared" si="2"/>
        <v>99</v>
      </c>
      <c r="R83" s="102">
        <f t="shared" si="3"/>
        <v>7.615384615384615</v>
      </c>
    </row>
    <row r="84" spans="1:18" x14ac:dyDescent="0.25">
      <c r="A84" s="75">
        <v>14501079</v>
      </c>
      <c r="B84" s="98" t="s">
        <v>142</v>
      </c>
      <c r="C84" s="68" t="s">
        <v>157</v>
      </c>
      <c r="D84" s="77">
        <v>8</v>
      </c>
      <c r="E84" s="77">
        <v>8</v>
      </c>
      <c r="F84" s="77">
        <v>8</v>
      </c>
      <c r="G84" s="77">
        <v>8</v>
      </c>
      <c r="H84" s="77">
        <v>6</v>
      </c>
      <c r="I84" s="77">
        <v>6</v>
      </c>
      <c r="J84" s="77">
        <v>7</v>
      </c>
      <c r="K84" s="77">
        <v>8</v>
      </c>
      <c r="L84" s="77">
        <v>8</v>
      </c>
      <c r="M84" s="77">
        <v>8</v>
      </c>
      <c r="N84" s="77">
        <v>7</v>
      </c>
      <c r="O84" s="77">
        <v>7</v>
      </c>
      <c r="P84" s="140">
        <v>7</v>
      </c>
      <c r="Q84" s="74">
        <f t="shared" si="2"/>
        <v>96</v>
      </c>
      <c r="R84" s="102">
        <f t="shared" si="3"/>
        <v>7.384615384615385</v>
      </c>
    </row>
    <row r="85" spans="1:18" x14ac:dyDescent="0.25">
      <c r="A85" s="75">
        <v>14501080</v>
      </c>
      <c r="B85" s="98" t="s">
        <v>143</v>
      </c>
      <c r="C85" s="68" t="s">
        <v>157</v>
      </c>
      <c r="D85" s="77">
        <v>7</v>
      </c>
      <c r="E85" s="77">
        <v>7</v>
      </c>
      <c r="F85" s="77">
        <v>7</v>
      </c>
      <c r="G85" s="77">
        <v>8</v>
      </c>
      <c r="H85" s="77">
        <v>6</v>
      </c>
      <c r="I85" s="77">
        <v>8</v>
      </c>
      <c r="J85" s="77">
        <v>7</v>
      </c>
      <c r="K85" s="77">
        <v>8</v>
      </c>
      <c r="L85" s="77">
        <v>7</v>
      </c>
      <c r="M85" s="77">
        <v>8</v>
      </c>
      <c r="N85" s="77">
        <v>8</v>
      </c>
      <c r="O85" s="77">
        <v>7</v>
      </c>
      <c r="P85" s="140">
        <v>8</v>
      </c>
      <c r="Q85" s="74">
        <f t="shared" si="2"/>
        <v>96</v>
      </c>
      <c r="R85" s="102">
        <f t="shared" si="3"/>
        <v>7.384615384615385</v>
      </c>
    </row>
    <row r="86" spans="1:18" x14ac:dyDescent="0.25">
      <c r="A86" s="75">
        <v>14501081</v>
      </c>
      <c r="B86" s="98" t="s">
        <v>144</v>
      </c>
      <c r="C86" s="68" t="s">
        <v>157</v>
      </c>
      <c r="D86" s="77">
        <v>8</v>
      </c>
      <c r="E86" s="77">
        <v>8</v>
      </c>
      <c r="F86" s="77">
        <v>8</v>
      </c>
      <c r="G86" s="77">
        <v>7</v>
      </c>
      <c r="H86" s="77">
        <v>8</v>
      </c>
      <c r="I86" s="77">
        <v>7</v>
      </c>
      <c r="J86" s="77">
        <v>8</v>
      </c>
      <c r="K86" s="77">
        <v>7</v>
      </c>
      <c r="L86" s="77">
        <v>8</v>
      </c>
      <c r="M86" s="77">
        <v>8</v>
      </c>
      <c r="N86" s="77">
        <v>8</v>
      </c>
      <c r="O86" s="77">
        <v>8</v>
      </c>
      <c r="P86" s="140">
        <v>7</v>
      </c>
      <c r="Q86" s="74">
        <f t="shared" si="2"/>
        <v>100</v>
      </c>
      <c r="R86" s="102">
        <f t="shared" si="3"/>
        <v>7.6923076923076925</v>
      </c>
    </row>
    <row r="87" spans="1:18" x14ac:dyDescent="0.25">
      <c r="A87" s="75">
        <v>14501082</v>
      </c>
      <c r="B87" s="98" t="s">
        <v>145</v>
      </c>
      <c r="C87" s="68" t="s">
        <v>157</v>
      </c>
      <c r="D87" s="77">
        <v>8</v>
      </c>
      <c r="E87" s="77">
        <v>6</v>
      </c>
      <c r="F87" s="77">
        <v>7</v>
      </c>
      <c r="G87" s="77">
        <v>6</v>
      </c>
      <c r="H87" s="77">
        <v>6</v>
      </c>
      <c r="I87" s="77">
        <v>6</v>
      </c>
      <c r="J87" s="77">
        <v>7</v>
      </c>
      <c r="K87" s="77">
        <v>7</v>
      </c>
      <c r="L87" s="77">
        <v>7</v>
      </c>
      <c r="M87" s="77">
        <v>7</v>
      </c>
      <c r="N87" s="77">
        <v>6</v>
      </c>
      <c r="O87" s="77">
        <v>7</v>
      </c>
      <c r="P87" s="140">
        <v>7</v>
      </c>
      <c r="Q87" s="74">
        <f t="shared" si="2"/>
        <v>87</v>
      </c>
      <c r="R87" s="102">
        <f t="shared" si="3"/>
        <v>6.6923076923076925</v>
      </c>
    </row>
    <row r="88" spans="1:18" x14ac:dyDescent="0.25">
      <c r="A88" s="75">
        <v>14501083</v>
      </c>
      <c r="B88" s="98" t="s">
        <v>146</v>
      </c>
      <c r="C88" s="68" t="s">
        <v>157</v>
      </c>
      <c r="D88" s="77">
        <v>7</v>
      </c>
      <c r="E88" s="77">
        <v>7</v>
      </c>
      <c r="F88" s="77">
        <v>8</v>
      </c>
      <c r="G88" s="77">
        <v>8</v>
      </c>
      <c r="H88" s="77">
        <v>7</v>
      </c>
      <c r="I88" s="77">
        <v>7</v>
      </c>
      <c r="J88" s="77">
        <v>7</v>
      </c>
      <c r="K88" s="77">
        <v>8</v>
      </c>
      <c r="L88" s="77">
        <v>8</v>
      </c>
      <c r="M88" s="77">
        <v>8</v>
      </c>
      <c r="N88" s="77">
        <v>8</v>
      </c>
      <c r="O88" s="77">
        <v>8</v>
      </c>
      <c r="P88" s="140">
        <v>7</v>
      </c>
      <c r="Q88" s="74">
        <f t="shared" si="2"/>
        <v>98</v>
      </c>
      <c r="R88" s="102">
        <f t="shared" si="3"/>
        <v>7.5384615384615383</v>
      </c>
    </row>
    <row r="89" spans="1:18" x14ac:dyDescent="0.25">
      <c r="A89" s="75">
        <v>14501084</v>
      </c>
      <c r="B89" s="98" t="s">
        <v>147</v>
      </c>
      <c r="C89" s="68" t="s">
        <v>157</v>
      </c>
      <c r="D89" s="77">
        <v>8</v>
      </c>
      <c r="E89" s="77">
        <v>7</v>
      </c>
      <c r="F89" s="77">
        <v>7</v>
      </c>
      <c r="G89" s="77">
        <v>8</v>
      </c>
      <c r="H89" s="77">
        <v>6</v>
      </c>
      <c r="I89" s="77">
        <v>7</v>
      </c>
      <c r="J89" s="77">
        <v>7</v>
      </c>
      <c r="K89" s="77">
        <v>7</v>
      </c>
      <c r="L89" s="77">
        <v>8</v>
      </c>
      <c r="M89" s="77">
        <v>7</v>
      </c>
      <c r="N89" s="77">
        <v>7</v>
      </c>
      <c r="O89" s="77">
        <v>8</v>
      </c>
      <c r="P89" s="140">
        <v>7</v>
      </c>
      <c r="Q89" s="74">
        <f t="shared" si="2"/>
        <v>94</v>
      </c>
      <c r="R89" s="102">
        <f t="shared" si="3"/>
        <v>7.2307692307692308</v>
      </c>
    </row>
    <row r="90" spans="1:18" x14ac:dyDescent="0.25">
      <c r="A90" s="75">
        <v>14501085</v>
      </c>
      <c r="B90" s="98" t="s">
        <v>148</v>
      </c>
      <c r="C90" s="68" t="s">
        <v>157</v>
      </c>
      <c r="D90" s="77">
        <v>7</v>
      </c>
      <c r="E90" s="77">
        <v>8</v>
      </c>
      <c r="F90" s="77">
        <v>7</v>
      </c>
      <c r="G90" s="77">
        <v>7</v>
      </c>
      <c r="H90" s="77">
        <v>7</v>
      </c>
      <c r="I90" s="77">
        <v>8</v>
      </c>
      <c r="J90" s="77">
        <v>7</v>
      </c>
      <c r="K90" s="77">
        <v>8</v>
      </c>
      <c r="L90" s="77">
        <v>8</v>
      </c>
      <c r="M90" s="77">
        <v>8</v>
      </c>
      <c r="N90" s="77">
        <v>8</v>
      </c>
      <c r="O90" s="77">
        <v>7</v>
      </c>
      <c r="P90" s="140">
        <v>7</v>
      </c>
      <c r="Q90" s="74">
        <f t="shared" si="2"/>
        <v>97</v>
      </c>
      <c r="R90" s="102">
        <f t="shared" si="3"/>
        <v>7.4615384615384617</v>
      </c>
    </row>
    <row r="91" spans="1:18" x14ac:dyDescent="0.25">
      <c r="A91" s="75">
        <v>14501086</v>
      </c>
      <c r="B91" s="98" t="s">
        <v>149</v>
      </c>
      <c r="C91" s="68" t="s">
        <v>157</v>
      </c>
      <c r="D91" s="77">
        <v>8</v>
      </c>
      <c r="E91" s="77">
        <v>8</v>
      </c>
      <c r="F91" s="77">
        <v>7</v>
      </c>
      <c r="G91" s="77">
        <v>8</v>
      </c>
      <c r="H91" s="77">
        <v>7</v>
      </c>
      <c r="I91" s="77">
        <v>6</v>
      </c>
      <c r="J91" s="77">
        <v>7</v>
      </c>
      <c r="K91" s="77">
        <v>7</v>
      </c>
      <c r="L91" s="77">
        <v>8</v>
      </c>
      <c r="M91" s="77">
        <v>7</v>
      </c>
      <c r="N91" s="77">
        <v>8</v>
      </c>
      <c r="O91" s="77">
        <v>8</v>
      </c>
      <c r="P91" s="140">
        <v>7</v>
      </c>
      <c r="Q91" s="74">
        <f t="shared" si="2"/>
        <v>96</v>
      </c>
      <c r="R91" s="102">
        <f t="shared" si="3"/>
        <v>7.384615384615385</v>
      </c>
    </row>
    <row r="92" spans="1:18" x14ac:dyDescent="0.25">
      <c r="A92" s="75">
        <v>14501087</v>
      </c>
      <c r="B92" s="98" t="s">
        <v>150</v>
      </c>
      <c r="C92" s="68" t="s">
        <v>157</v>
      </c>
      <c r="D92" s="77">
        <v>7</v>
      </c>
      <c r="E92" s="77">
        <v>7</v>
      </c>
      <c r="F92" s="77">
        <v>8</v>
      </c>
      <c r="G92" s="77">
        <v>8</v>
      </c>
      <c r="H92" s="77">
        <v>7</v>
      </c>
      <c r="I92" s="77">
        <v>7</v>
      </c>
      <c r="J92" s="77">
        <v>8</v>
      </c>
      <c r="K92" s="77">
        <v>8</v>
      </c>
      <c r="L92" s="77">
        <v>7</v>
      </c>
      <c r="M92" s="77">
        <v>8</v>
      </c>
      <c r="N92" s="77">
        <v>7</v>
      </c>
      <c r="O92" s="77">
        <v>8</v>
      </c>
      <c r="P92" s="140">
        <v>8</v>
      </c>
      <c r="Q92" s="74">
        <f t="shared" si="2"/>
        <v>98</v>
      </c>
      <c r="R92" s="102">
        <f t="shared" si="3"/>
        <v>7.5384615384615383</v>
      </c>
    </row>
    <row r="93" spans="1:18" x14ac:dyDescent="0.25">
      <c r="A93" s="75">
        <v>14501088</v>
      </c>
      <c r="B93" s="98" t="s">
        <v>151</v>
      </c>
      <c r="C93" s="68" t="s">
        <v>157</v>
      </c>
      <c r="D93" s="77">
        <v>7</v>
      </c>
      <c r="E93" s="77">
        <v>8</v>
      </c>
      <c r="F93" s="77">
        <v>8</v>
      </c>
      <c r="G93" s="77">
        <v>8</v>
      </c>
      <c r="H93" s="77">
        <v>7</v>
      </c>
      <c r="I93" s="77">
        <v>7</v>
      </c>
      <c r="J93" s="77">
        <v>8</v>
      </c>
      <c r="K93" s="77">
        <v>8</v>
      </c>
      <c r="L93" s="77">
        <v>8</v>
      </c>
      <c r="M93" s="77">
        <v>7</v>
      </c>
      <c r="N93" s="77">
        <v>7</v>
      </c>
      <c r="O93" s="77">
        <v>8</v>
      </c>
      <c r="P93" s="140">
        <v>8</v>
      </c>
      <c r="Q93" s="74">
        <f t="shared" si="2"/>
        <v>99</v>
      </c>
      <c r="R93" s="102">
        <f t="shared" si="3"/>
        <v>7.615384615384615</v>
      </c>
    </row>
    <row r="94" spans="1:18" x14ac:dyDescent="0.25">
      <c r="A94" s="75">
        <v>14501089</v>
      </c>
      <c r="B94" s="98" t="s">
        <v>152</v>
      </c>
      <c r="C94" s="68" t="s">
        <v>157</v>
      </c>
      <c r="D94" s="77">
        <v>8</v>
      </c>
      <c r="E94" s="77" t="s">
        <v>265</v>
      </c>
      <c r="F94" s="77" t="s">
        <v>265</v>
      </c>
      <c r="G94" s="77" t="s">
        <v>265</v>
      </c>
      <c r="H94" s="77">
        <v>6</v>
      </c>
      <c r="I94" s="77">
        <v>6</v>
      </c>
      <c r="J94" s="77" t="s">
        <v>265</v>
      </c>
      <c r="K94" s="77">
        <v>8</v>
      </c>
      <c r="L94" s="77" t="s">
        <v>265</v>
      </c>
      <c r="M94" s="77" t="s">
        <v>265</v>
      </c>
      <c r="N94" s="77">
        <v>8</v>
      </c>
      <c r="O94" s="77" t="s">
        <v>265</v>
      </c>
      <c r="P94" s="140" t="s">
        <v>266</v>
      </c>
      <c r="Q94" s="74">
        <f t="shared" si="2"/>
        <v>36</v>
      </c>
      <c r="R94" s="102">
        <f t="shared" si="3"/>
        <v>7.2</v>
      </c>
    </row>
    <row r="95" spans="1:18" x14ac:dyDescent="0.25">
      <c r="A95" s="75">
        <v>14501090</v>
      </c>
      <c r="B95" s="98" t="s">
        <v>153</v>
      </c>
      <c r="C95" s="68" t="s">
        <v>157</v>
      </c>
      <c r="D95" s="77">
        <v>8</v>
      </c>
      <c r="E95" s="77">
        <v>7</v>
      </c>
      <c r="F95" s="77">
        <v>7</v>
      </c>
      <c r="G95" s="77">
        <v>8</v>
      </c>
      <c r="H95" s="77">
        <v>6</v>
      </c>
      <c r="I95" s="77">
        <v>7</v>
      </c>
      <c r="J95" s="77">
        <v>7</v>
      </c>
      <c r="K95" s="77">
        <v>7</v>
      </c>
      <c r="L95" s="77">
        <v>8</v>
      </c>
      <c r="M95" s="77">
        <v>8</v>
      </c>
      <c r="N95" s="77">
        <v>7</v>
      </c>
      <c r="O95" s="77">
        <v>7</v>
      </c>
      <c r="P95" s="140">
        <v>8</v>
      </c>
      <c r="Q95" s="74">
        <f t="shared" si="2"/>
        <v>95</v>
      </c>
      <c r="R95" s="102">
        <f t="shared" si="3"/>
        <v>7.3076923076923075</v>
      </c>
    </row>
    <row r="96" spans="1:18" x14ac:dyDescent="0.25">
      <c r="A96" s="75">
        <v>14501091</v>
      </c>
      <c r="B96" s="98" t="s">
        <v>154</v>
      </c>
      <c r="C96" s="68" t="s">
        <v>157</v>
      </c>
      <c r="D96" s="77">
        <v>8</v>
      </c>
      <c r="E96" s="77">
        <v>8</v>
      </c>
      <c r="F96" s="77">
        <v>8</v>
      </c>
      <c r="G96" s="77">
        <v>7</v>
      </c>
      <c r="H96" s="77">
        <v>8</v>
      </c>
      <c r="I96" s="77">
        <v>7</v>
      </c>
      <c r="J96" s="77">
        <v>7</v>
      </c>
      <c r="K96" s="77">
        <v>8</v>
      </c>
      <c r="L96" s="77">
        <v>8</v>
      </c>
      <c r="M96" s="77">
        <v>7</v>
      </c>
      <c r="N96" s="77">
        <v>7</v>
      </c>
      <c r="O96" s="77">
        <v>8</v>
      </c>
      <c r="P96" s="140">
        <v>7</v>
      </c>
      <c r="Q96" s="74">
        <f t="shared" si="2"/>
        <v>98</v>
      </c>
      <c r="R96" s="102">
        <f t="shared" si="3"/>
        <v>7.5384615384615383</v>
      </c>
    </row>
    <row r="97" spans="1:18" x14ac:dyDescent="0.25">
      <c r="A97" s="75">
        <v>14501092</v>
      </c>
      <c r="B97" s="98" t="s">
        <v>155</v>
      </c>
      <c r="C97" s="68" t="s">
        <v>157</v>
      </c>
      <c r="D97" s="77">
        <v>8</v>
      </c>
      <c r="E97" s="77">
        <v>6</v>
      </c>
      <c r="F97" s="77">
        <v>8</v>
      </c>
      <c r="G97" s="77">
        <v>6</v>
      </c>
      <c r="H97" s="77">
        <v>7</v>
      </c>
      <c r="I97" s="77">
        <v>7</v>
      </c>
      <c r="J97" s="77">
        <v>7</v>
      </c>
      <c r="K97" s="77">
        <v>8</v>
      </c>
      <c r="L97" s="77">
        <v>7</v>
      </c>
      <c r="M97" s="77">
        <v>7</v>
      </c>
      <c r="N97" s="77">
        <v>6</v>
      </c>
      <c r="O97" s="77">
        <v>7</v>
      </c>
      <c r="P97" s="140">
        <v>7</v>
      </c>
      <c r="Q97" s="74">
        <f t="shared" si="2"/>
        <v>91</v>
      </c>
      <c r="R97" s="102">
        <f t="shared" si="3"/>
        <v>7</v>
      </c>
    </row>
    <row r="98" spans="1:18" x14ac:dyDescent="0.25">
      <c r="A98" s="75">
        <v>14501093</v>
      </c>
      <c r="B98" s="98" t="s">
        <v>156</v>
      </c>
      <c r="C98" s="68" t="s">
        <v>157</v>
      </c>
      <c r="D98" s="77">
        <v>7</v>
      </c>
      <c r="E98" s="77">
        <v>7</v>
      </c>
      <c r="F98" s="77">
        <v>8</v>
      </c>
      <c r="G98" s="77">
        <v>7</v>
      </c>
      <c r="H98" s="77">
        <v>8</v>
      </c>
      <c r="I98" s="77">
        <v>7</v>
      </c>
      <c r="J98" s="77">
        <v>7</v>
      </c>
      <c r="K98" s="77">
        <v>8</v>
      </c>
      <c r="L98" s="77">
        <v>8</v>
      </c>
      <c r="M98" s="77">
        <v>7</v>
      </c>
      <c r="N98" s="77">
        <v>8</v>
      </c>
      <c r="O98" s="77">
        <v>8</v>
      </c>
      <c r="P98" s="140">
        <v>7</v>
      </c>
      <c r="Q98" s="74">
        <f t="shared" si="2"/>
        <v>97</v>
      </c>
      <c r="R98" s="102">
        <f t="shared" si="3"/>
        <v>7.4615384615384617</v>
      </c>
    </row>
    <row r="99" spans="1:18" x14ac:dyDescent="0.25">
      <c r="A99" s="75">
        <v>14501094</v>
      </c>
      <c r="B99" s="98" t="s">
        <v>158</v>
      </c>
      <c r="C99" s="68" t="s">
        <v>187</v>
      </c>
      <c r="D99" s="77">
        <v>7</v>
      </c>
      <c r="E99" s="77">
        <v>7</v>
      </c>
      <c r="F99" s="77">
        <v>8</v>
      </c>
      <c r="G99" s="77">
        <v>8</v>
      </c>
      <c r="H99" s="77">
        <v>7</v>
      </c>
      <c r="I99" s="77">
        <v>8</v>
      </c>
      <c r="J99" s="77">
        <v>8</v>
      </c>
      <c r="K99" s="77">
        <v>8</v>
      </c>
      <c r="L99" s="77">
        <v>7</v>
      </c>
      <c r="M99" s="77">
        <v>7</v>
      </c>
      <c r="N99" s="77">
        <v>7</v>
      </c>
      <c r="O99" s="77">
        <v>8</v>
      </c>
      <c r="P99" s="140">
        <v>8</v>
      </c>
      <c r="Q99" s="74">
        <f t="shared" si="2"/>
        <v>98</v>
      </c>
      <c r="R99" s="102">
        <f t="shared" si="3"/>
        <v>7.5384615384615383</v>
      </c>
    </row>
    <row r="100" spans="1:18" x14ac:dyDescent="0.25">
      <c r="A100" s="75">
        <v>14501095</v>
      </c>
      <c r="B100" s="98" t="s">
        <v>159</v>
      </c>
      <c r="C100" s="68" t="s">
        <v>187</v>
      </c>
      <c r="D100" s="77">
        <v>8</v>
      </c>
      <c r="E100" s="77">
        <v>8</v>
      </c>
      <c r="F100" s="77">
        <v>8</v>
      </c>
      <c r="G100" s="77">
        <v>8</v>
      </c>
      <c r="H100" s="77">
        <v>7</v>
      </c>
      <c r="I100" s="77">
        <v>7</v>
      </c>
      <c r="J100" s="77">
        <v>7</v>
      </c>
      <c r="K100" s="77">
        <v>8</v>
      </c>
      <c r="L100" s="77">
        <v>7</v>
      </c>
      <c r="M100" s="77">
        <v>8</v>
      </c>
      <c r="N100" s="77">
        <v>7</v>
      </c>
      <c r="O100" s="77">
        <v>8</v>
      </c>
      <c r="P100" s="140">
        <v>7</v>
      </c>
      <c r="Q100" s="74">
        <f t="shared" si="2"/>
        <v>98</v>
      </c>
      <c r="R100" s="102">
        <f t="shared" si="3"/>
        <v>7.5384615384615383</v>
      </c>
    </row>
    <row r="101" spans="1:18" x14ac:dyDescent="0.25">
      <c r="A101" s="75">
        <v>14501096</v>
      </c>
      <c r="B101" s="98" t="s">
        <v>160</v>
      </c>
      <c r="C101" s="68" t="s">
        <v>187</v>
      </c>
      <c r="D101" s="77">
        <v>8</v>
      </c>
      <c r="E101" s="77">
        <v>8</v>
      </c>
      <c r="F101" s="77">
        <v>8</v>
      </c>
      <c r="G101" s="77">
        <v>8</v>
      </c>
      <c r="H101" s="77">
        <v>6</v>
      </c>
      <c r="I101" s="77">
        <v>6</v>
      </c>
      <c r="J101" s="77">
        <v>7</v>
      </c>
      <c r="K101" s="77">
        <v>7</v>
      </c>
      <c r="L101" s="77">
        <v>8</v>
      </c>
      <c r="M101" s="77">
        <v>7</v>
      </c>
      <c r="N101" s="77">
        <v>7</v>
      </c>
      <c r="O101" s="77">
        <v>7</v>
      </c>
      <c r="P101" s="140">
        <v>7</v>
      </c>
      <c r="Q101" s="74">
        <f t="shared" si="2"/>
        <v>94</v>
      </c>
      <c r="R101" s="102">
        <f t="shared" si="3"/>
        <v>7.2307692307692308</v>
      </c>
    </row>
    <row r="102" spans="1:18" x14ac:dyDescent="0.25">
      <c r="A102" s="75">
        <v>14501097</v>
      </c>
      <c r="B102" s="98" t="s">
        <v>161</v>
      </c>
      <c r="C102" s="68" t="s">
        <v>187</v>
      </c>
      <c r="D102" s="77">
        <v>7</v>
      </c>
      <c r="E102" s="77">
        <v>7</v>
      </c>
      <c r="F102" s="77">
        <v>7</v>
      </c>
      <c r="G102" s="77">
        <v>8</v>
      </c>
      <c r="H102" s="77">
        <v>6</v>
      </c>
      <c r="I102" s="77">
        <v>8</v>
      </c>
      <c r="J102" s="77">
        <v>7</v>
      </c>
      <c r="K102" s="77">
        <v>8</v>
      </c>
      <c r="L102" s="77">
        <v>7</v>
      </c>
      <c r="M102" s="77">
        <v>8</v>
      </c>
      <c r="N102" s="77">
        <v>8</v>
      </c>
      <c r="O102" s="77">
        <v>7</v>
      </c>
      <c r="P102" s="140">
        <v>8</v>
      </c>
      <c r="Q102" s="74">
        <f t="shared" si="2"/>
        <v>96</v>
      </c>
      <c r="R102" s="102">
        <f t="shared" si="3"/>
        <v>7.384615384615385</v>
      </c>
    </row>
    <row r="103" spans="1:18" x14ac:dyDescent="0.25">
      <c r="A103" s="75">
        <v>14501098</v>
      </c>
      <c r="B103" s="98" t="s">
        <v>162</v>
      </c>
      <c r="C103" s="68" t="s">
        <v>187</v>
      </c>
      <c r="D103" s="77">
        <v>8</v>
      </c>
      <c r="E103" s="77">
        <v>8</v>
      </c>
      <c r="F103" s="77">
        <v>8</v>
      </c>
      <c r="G103" s="77">
        <v>7</v>
      </c>
      <c r="H103" s="77">
        <v>7</v>
      </c>
      <c r="I103" s="77">
        <v>7</v>
      </c>
      <c r="J103" s="77">
        <v>8</v>
      </c>
      <c r="K103" s="77">
        <v>7</v>
      </c>
      <c r="L103" s="77">
        <v>8</v>
      </c>
      <c r="M103" s="77">
        <v>7</v>
      </c>
      <c r="N103" s="77">
        <v>7</v>
      </c>
      <c r="O103" s="77">
        <v>8</v>
      </c>
      <c r="P103" s="140">
        <v>7</v>
      </c>
      <c r="Q103" s="74">
        <f t="shared" si="2"/>
        <v>97</v>
      </c>
      <c r="R103" s="102">
        <f t="shared" si="3"/>
        <v>7.4615384615384617</v>
      </c>
    </row>
    <row r="104" spans="1:18" x14ac:dyDescent="0.25">
      <c r="A104" s="75">
        <v>14501099</v>
      </c>
      <c r="B104" s="98" t="s">
        <v>163</v>
      </c>
      <c r="C104" s="68" t="s">
        <v>187</v>
      </c>
      <c r="D104" s="77">
        <v>7</v>
      </c>
      <c r="E104" s="77">
        <v>6</v>
      </c>
      <c r="F104" s="77">
        <v>7</v>
      </c>
      <c r="G104" s="77">
        <v>6</v>
      </c>
      <c r="H104" s="77">
        <v>6</v>
      </c>
      <c r="I104" s="77">
        <v>6</v>
      </c>
      <c r="J104" s="77">
        <v>7</v>
      </c>
      <c r="K104" s="77">
        <v>7</v>
      </c>
      <c r="L104" s="77">
        <v>8</v>
      </c>
      <c r="M104" s="77">
        <v>7</v>
      </c>
      <c r="N104" s="77">
        <v>6</v>
      </c>
      <c r="O104" s="77">
        <v>7</v>
      </c>
      <c r="P104" s="140">
        <v>7</v>
      </c>
      <c r="Q104" s="74">
        <f t="shared" si="2"/>
        <v>87</v>
      </c>
      <c r="R104" s="102">
        <f t="shared" si="3"/>
        <v>6.6923076923076925</v>
      </c>
    </row>
    <row r="105" spans="1:18" x14ac:dyDescent="0.25">
      <c r="A105" s="75">
        <v>14501100</v>
      </c>
      <c r="B105" s="98" t="s">
        <v>164</v>
      </c>
      <c r="C105" s="68" t="s">
        <v>187</v>
      </c>
      <c r="D105" s="77">
        <v>7</v>
      </c>
      <c r="E105" s="77">
        <v>7</v>
      </c>
      <c r="F105" s="77">
        <v>8</v>
      </c>
      <c r="G105" s="77">
        <v>8</v>
      </c>
      <c r="H105" s="77">
        <v>7</v>
      </c>
      <c r="I105" s="77">
        <v>8</v>
      </c>
      <c r="J105" s="77">
        <v>7</v>
      </c>
      <c r="K105" s="77">
        <v>8</v>
      </c>
      <c r="L105" s="77">
        <v>8</v>
      </c>
      <c r="M105" s="77">
        <v>7</v>
      </c>
      <c r="N105" s="77">
        <v>8</v>
      </c>
      <c r="O105" s="77">
        <v>8</v>
      </c>
      <c r="P105" s="140">
        <v>7</v>
      </c>
      <c r="Q105" s="74">
        <f t="shared" si="2"/>
        <v>98</v>
      </c>
      <c r="R105" s="102">
        <f t="shared" si="3"/>
        <v>7.5384615384615383</v>
      </c>
    </row>
    <row r="106" spans="1:18" x14ac:dyDescent="0.25">
      <c r="A106" s="75">
        <v>14501101</v>
      </c>
      <c r="B106" s="98" t="s">
        <v>165</v>
      </c>
      <c r="C106" s="68" t="s">
        <v>187</v>
      </c>
      <c r="D106" s="77">
        <v>8</v>
      </c>
      <c r="E106" s="77">
        <v>7</v>
      </c>
      <c r="F106" s="77">
        <v>7</v>
      </c>
      <c r="G106" s="77">
        <v>8</v>
      </c>
      <c r="H106" s="77">
        <v>6</v>
      </c>
      <c r="I106" s="77">
        <v>7</v>
      </c>
      <c r="J106" s="77">
        <v>8</v>
      </c>
      <c r="K106" s="77">
        <v>7</v>
      </c>
      <c r="L106" s="77">
        <v>8</v>
      </c>
      <c r="M106" s="77">
        <v>7</v>
      </c>
      <c r="N106" s="77">
        <v>7</v>
      </c>
      <c r="O106" s="77">
        <v>8</v>
      </c>
      <c r="P106" s="140">
        <v>7</v>
      </c>
      <c r="Q106" s="74">
        <f t="shared" si="2"/>
        <v>95</v>
      </c>
      <c r="R106" s="102">
        <f t="shared" si="3"/>
        <v>7.3076923076923075</v>
      </c>
    </row>
    <row r="107" spans="1:18" x14ac:dyDescent="0.25">
      <c r="A107" s="75">
        <v>14501102</v>
      </c>
      <c r="B107" s="98" t="s">
        <v>166</v>
      </c>
      <c r="C107" s="68" t="s">
        <v>187</v>
      </c>
      <c r="D107" s="77">
        <v>7</v>
      </c>
      <c r="E107" s="77">
        <v>7</v>
      </c>
      <c r="F107" s="77">
        <v>8</v>
      </c>
      <c r="G107" s="77">
        <v>8</v>
      </c>
      <c r="H107" s="77">
        <v>8</v>
      </c>
      <c r="I107" s="77">
        <v>7</v>
      </c>
      <c r="J107" s="77">
        <v>7</v>
      </c>
      <c r="K107" s="77">
        <v>8</v>
      </c>
      <c r="L107" s="77">
        <v>8</v>
      </c>
      <c r="M107" s="77">
        <v>7</v>
      </c>
      <c r="N107" s="77">
        <v>7</v>
      </c>
      <c r="O107" s="77">
        <v>8</v>
      </c>
      <c r="P107" s="140">
        <v>7</v>
      </c>
      <c r="Q107" s="74">
        <f t="shared" si="2"/>
        <v>97</v>
      </c>
      <c r="R107" s="102">
        <f t="shared" si="3"/>
        <v>7.4615384615384617</v>
      </c>
    </row>
    <row r="108" spans="1:18" x14ac:dyDescent="0.25">
      <c r="A108" s="75">
        <v>14501103</v>
      </c>
      <c r="B108" s="98" t="s">
        <v>167</v>
      </c>
      <c r="C108" s="68" t="s">
        <v>187</v>
      </c>
      <c r="D108" s="77">
        <v>8</v>
      </c>
      <c r="E108" s="77">
        <v>7</v>
      </c>
      <c r="F108" s="77">
        <v>8</v>
      </c>
      <c r="G108" s="77">
        <v>8</v>
      </c>
      <c r="H108" s="77">
        <v>7</v>
      </c>
      <c r="I108" s="77">
        <v>7</v>
      </c>
      <c r="J108" s="77">
        <v>8</v>
      </c>
      <c r="K108" s="77">
        <v>8</v>
      </c>
      <c r="L108" s="77">
        <v>7</v>
      </c>
      <c r="M108" s="77">
        <v>8</v>
      </c>
      <c r="N108" s="77">
        <v>7</v>
      </c>
      <c r="O108" s="77">
        <v>8</v>
      </c>
      <c r="P108" s="140">
        <v>8</v>
      </c>
      <c r="Q108" s="74">
        <f t="shared" si="2"/>
        <v>99</v>
      </c>
      <c r="R108" s="102">
        <f t="shared" si="3"/>
        <v>7.615384615384615</v>
      </c>
    </row>
    <row r="109" spans="1:18" x14ac:dyDescent="0.25">
      <c r="A109" s="75">
        <v>14501104</v>
      </c>
      <c r="B109" s="98" t="s">
        <v>168</v>
      </c>
      <c r="C109" s="68" t="s">
        <v>187</v>
      </c>
      <c r="D109" s="77">
        <v>8</v>
      </c>
      <c r="E109" s="77">
        <v>7</v>
      </c>
      <c r="F109" s="77">
        <v>8</v>
      </c>
      <c r="G109" s="77">
        <v>8</v>
      </c>
      <c r="H109" s="77">
        <v>7</v>
      </c>
      <c r="I109" s="77">
        <v>7</v>
      </c>
      <c r="J109" s="77">
        <v>7</v>
      </c>
      <c r="K109" s="77">
        <v>8</v>
      </c>
      <c r="L109" s="77">
        <v>8</v>
      </c>
      <c r="M109" s="77">
        <v>7</v>
      </c>
      <c r="N109" s="77">
        <v>7</v>
      </c>
      <c r="O109" s="77">
        <v>8</v>
      </c>
      <c r="P109" s="140">
        <v>7</v>
      </c>
      <c r="Q109" s="74">
        <f t="shared" si="2"/>
        <v>97</v>
      </c>
      <c r="R109" s="102">
        <f t="shared" si="3"/>
        <v>7.4615384615384617</v>
      </c>
    </row>
    <row r="110" spans="1:18" x14ac:dyDescent="0.25">
      <c r="A110" s="75">
        <v>14501105</v>
      </c>
      <c r="B110" s="98" t="s">
        <v>169</v>
      </c>
      <c r="C110" s="68" t="s">
        <v>187</v>
      </c>
      <c r="D110" s="77">
        <v>8</v>
      </c>
      <c r="E110" s="77">
        <v>8</v>
      </c>
      <c r="F110" s="77">
        <v>7</v>
      </c>
      <c r="G110" s="77">
        <v>8</v>
      </c>
      <c r="H110" s="77">
        <v>6</v>
      </c>
      <c r="I110" s="77">
        <v>8</v>
      </c>
      <c r="J110" s="77">
        <v>7</v>
      </c>
      <c r="K110" s="77">
        <v>8</v>
      </c>
      <c r="L110" s="77">
        <v>8</v>
      </c>
      <c r="M110" s="77">
        <v>7</v>
      </c>
      <c r="N110" s="77">
        <v>7</v>
      </c>
      <c r="O110" s="77">
        <v>7</v>
      </c>
      <c r="P110" s="140">
        <v>7</v>
      </c>
      <c r="Q110" s="74">
        <f t="shared" si="2"/>
        <v>96</v>
      </c>
      <c r="R110" s="102">
        <f t="shared" si="3"/>
        <v>7.384615384615385</v>
      </c>
    </row>
    <row r="111" spans="1:18" x14ac:dyDescent="0.25">
      <c r="A111" s="75">
        <v>14501106</v>
      </c>
      <c r="B111" s="98" t="s">
        <v>170</v>
      </c>
      <c r="C111" s="68" t="s">
        <v>187</v>
      </c>
      <c r="D111" s="77">
        <v>7</v>
      </c>
      <c r="E111" s="77">
        <v>7</v>
      </c>
      <c r="F111" s="77">
        <v>7</v>
      </c>
      <c r="G111" s="77">
        <v>8</v>
      </c>
      <c r="H111" s="77">
        <v>6</v>
      </c>
      <c r="I111" s="77">
        <v>7</v>
      </c>
      <c r="J111" s="77">
        <v>7</v>
      </c>
      <c r="K111" s="77">
        <v>8</v>
      </c>
      <c r="L111" s="77">
        <v>7</v>
      </c>
      <c r="M111" s="77">
        <v>8</v>
      </c>
      <c r="N111" s="77">
        <v>7</v>
      </c>
      <c r="O111" s="77">
        <v>7</v>
      </c>
      <c r="P111" s="140">
        <v>7</v>
      </c>
      <c r="Q111" s="74">
        <f t="shared" si="2"/>
        <v>93</v>
      </c>
      <c r="R111" s="102">
        <f t="shared" si="3"/>
        <v>7.1538461538461542</v>
      </c>
    </row>
    <row r="112" spans="1:18" x14ac:dyDescent="0.25">
      <c r="A112" s="75">
        <v>14501107</v>
      </c>
      <c r="B112" s="98" t="s">
        <v>171</v>
      </c>
      <c r="C112" s="68" t="s">
        <v>187</v>
      </c>
      <c r="D112" s="77">
        <v>8</v>
      </c>
      <c r="E112" s="77">
        <v>7</v>
      </c>
      <c r="F112" s="77">
        <v>8</v>
      </c>
      <c r="G112" s="77">
        <v>8</v>
      </c>
      <c r="H112" s="77">
        <v>7</v>
      </c>
      <c r="I112" s="77">
        <v>8</v>
      </c>
      <c r="J112" s="77">
        <v>8</v>
      </c>
      <c r="K112" s="77">
        <v>8</v>
      </c>
      <c r="L112" s="77">
        <v>7</v>
      </c>
      <c r="M112" s="77">
        <v>7</v>
      </c>
      <c r="N112" s="77">
        <v>8</v>
      </c>
      <c r="O112" s="77">
        <v>8</v>
      </c>
      <c r="P112" s="140">
        <v>8</v>
      </c>
      <c r="Q112" s="74">
        <f t="shared" si="2"/>
        <v>100</v>
      </c>
      <c r="R112" s="102">
        <f t="shared" si="3"/>
        <v>7.6923076923076925</v>
      </c>
    </row>
    <row r="113" spans="1:18" x14ac:dyDescent="0.25">
      <c r="A113" s="75">
        <v>14501108</v>
      </c>
      <c r="B113" s="98" t="s">
        <v>172</v>
      </c>
      <c r="C113" s="68" t="s">
        <v>187</v>
      </c>
      <c r="D113" s="77">
        <v>7</v>
      </c>
      <c r="E113" s="77">
        <v>8</v>
      </c>
      <c r="F113" s="77">
        <v>8</v>
      </c>
      <c r="G113" s="77">
        <v>7</v>
      </c>
      <c r="H113" s="77">
        <v>7</v>
      </c>
      <c r="I113" s="77">
        <v>8</v>
      </c>
      <c r="J113" s="77">
        <v>8</v>
      </c>
      <c r="K113" s="77">
        <v>8</v>
      </c>
      <c r="L113" s="77">
        <v>8</v>
      </c>
      <c r="M113" s="77">
        <v>7</v>
      </c>
      <c r="N113" s="77">
        <v>7</v>
      </c>
      <c r="O113" s="77">
        <v>8</v>
      </c>
      <c r="P113" s="140">
        <v>7</v>
      </c>
      <c r="Q113" s="74">
        <f t="shared" si="2"/>
        <v>98</v>
      </c>
      <c r="R113" s="102">
        <f t="shared" si="3"/>
        <v>7.5384615384615383</v>
      </c>
    </row>
    <row r="114" spans="1:18" x14ac:dyDescent="0.25">
      <c r="A114" s="75">
        <v>14501109</v>
      </c>
      <c r="B114" s="98" t="s">
        <v>173</v>
      </c>
      <c r="C114" s="68" t="s">
        <v>187</v>
      </c>
      <c r="D114" s="77">
        <v>8</v>
      </c>
      <c r="E114" s="77">
        <v>7</v>
      </c>
      <c r="F114" s="77">
        <v>7</v>
      </c>
      <c r="G114" s="77">
        <v>8</v>
      </c>
      <c r="H114" s="77">
        <v>6</v>
      </c>
      <c r="I114" s="77">
        <v>6</v>
      </c>
      <c r="J114" s="77">
        <v>8</v>
      </c>
      <c r="K114" s="77">
        <v>8</v>
      </c>
      <c r="L114" s="77">
        <v>8</v>
      </c>
      <c r="M114" s="77">
        <v>8</v>
      </c>
      <c r="N114" s="77">
        <v>8</v>
      </c>
      <c r="O114" s="77">
        <v>7</v>
      </c>
      <c r="P114" s="140">
        <v>8</v>
      </c>
      <c r="Q114" s="74">
        <f t="shared" si="2"/>
        <v>97</v>
      </c>
      <c r="R114" s="102">
        <f t="shared" si="3"/>
        <v>7.4615384615384617</v>
      </c>
    </row>
    <row r="115" spans="1:18" x14ac:dyDescent="0.25">
      <c r="A115" s="75">
        <v>14501110</v>
      </c>
      <c r="B115" s="98" t="s">
        <v>174</v>
      </c>
      <c r="C115" s="68" t="s">
        <v>187</v>
      </c>
      <c r="D115" s="77">
        <v>8</v>
      </c>
      <c r="E115" s="77">
        <v>6</v>
      </c>
      <c r="F115" s="77">
        <v>7</v>
      </c>
      <c r="G115" s="77">
        <v>7</v>
      </c>
      <c r="H115" s="77">
        <v>7</v>
      </c>
      <c r="I115" s="77">
        <v>7</v>
      </c>
      <c r="J115" s="77">
        <v>7</v>
      </c>
      <c r="K115" s="77">
        <v>8</v>
      </c>
      <c r="L115" s="77">
        <v>7</v>
      </c>
      <c r="M115" s="77">
        <v>7</v>
      </c>
      <c r="N115" s="77">
        <v>6</v>
      </c>
      <c r="O115" s="77">
        <v>7</v>
      </c>
      <c r="P115" s="140">
        <v>7</v>
      </c>
      <c r="Q115" s="74">
        <f t="shared" si="2"/>
        <v>91</v>
      </c>
      <c r="R115" s="102">
        <f t="shared" si="3"/>
        <v>7</v>
      </c>
    </row>
    <row r="116" spans="1:18" x14ac:dyDescent="0.25">
      <c r="A116" s="75">
        <v>14501111</v>
      </c>
      <c r="B116" s="98" t="s">
        <v>175</v>
      </c>
      <c r="C116" s="68" t="s">
        <v>187</v>
      </c>
      <c r="D116" s="77">
        <v>7</v>
      </c>
      <c r="E116" s="77">
        <v>7</v>
      </c>
      <c r="F116" s="77">
        <v>8</v>
      </c>
      <c r="G116" s="77">
        <v>7</v>
      </c>
      <c r="H116" s="77">
        <v>8</v>
      </c>
      <c r="I116" s="77">
        <v>7</v>
      </c>
      <c r="J116" s="77">
        <v>7</v>
      </c>
      <c r="K116" s="77">
        <v>8</v>
      </c>
      <c r="L116" s="77">
        <v>8</v>
      </c>
      <c r="M116" s="77">
        <v>7</v>
      </c>
      <c r="N116" s="77">
        <v>8</v>
      </c>
      <c r="O116" s="77">
        <v>8</v>
      </c>
      <c r="P116" s="140">
        <v>7</v>
      </c>
      <c r="Q116" s="74">
        <f t="shared" si="2"/>
        <v>97</v>
      </c>
      <c r="R116" s="102">
        <f t="shared" si="3"/>
        <v>7.4615384615384617</v>
      </c>
    </row>
    <row r="117" spans="1:18" x14ac:dyDescent="0.25">
      <c r="A117" s="75">
        <v>14501112</v>
      </c>
      <c r="B117" s="98" t="s">
        <v>176</v>
      </c>
      <c r="C117" s="68" t="s">
        <v>187</v>
      </c>
      <c r="D117" s="77">
        <v>7</v>
      </c>
      <c r="E117" s="77">
        <v>7</v>
      </c>
      <c r="F117" s="77">
        <v>8</v>
      </c>
      <c r="G117" s="77">
        <v>7</v>
      </c>
      <c r="H117" s="77">
        <v>7</v>
      </c>
      <c r="I117" s="77">
        <v>7</v>
      </c>
      <c r="J117" s="77">
        <v>7</v>
      </c>
      <c r="K117" s="77">
        <v>8</v>
      </c>
      <c r="L117" s="77">
        <v>8</v>
      </c>
      <c r="M117" s="77">
        <v>7</v>
      </c>
      <c r="N117" s="77">
        <v>8</v>
      </c>
      <c r="O117" s="77">
        <v>8</v>
      </c>
      <c r="P117" s="140">
        <v>7</v>
      </c>
      <c r="Q117" s="74">
        <f t="shared" si="2"/>
        <v>96</v>
      </c>
      <c r="R117" s="102">
        <f t="shared" si="3"/>
        <v>7.384615384615385</v>
      </c>
    </row>
    <row r="118" spans="1:18" x14ac:dyDescent="0.25">
      <c r="A118" s="75">
        <v>14501113</v>
      </c>
      <c r="B118" s="98" t="s">
        <v>177</v>
      </c>
      <c r="C118" s="68" t="s">
        <v>187</v>
      </c>
      <c r="D118" s="76">
        <v>8</v>
      </c>
      <c r="E118" s="76">
        <v>8</v>
      </c>
      <c r="F118" s="77">
        <v>7</v>
      </c>
      <c r="G118" s="77">
        <v>7</v>
      </c>
      <c r="H118" s="77">
        <v>7</v>
      </c>
      <c r="I118" s="77">
        <v>7</v>
      </c>
      <c r="J118" s="77">
        <v>7</v>
      </c>
      <c r="K118" s="78">
        <v>6</v>
      </c>
      <c r="L118" s="77">
        <v>8</v>
      </c>
      <c r="M118" s="77">
        <v>8</v>
      </c>
      <c r="N118" s="77">
        <v>8</v>
      </c>
      <c r="O118" s="77">
        <v>7</v>
      </c>
      <c r="P118" s="140">
        <v>7</v>
      </c>
      <c r="Q118" s="74">
        <f t="shared" si="2"/>
        <v>95</v>
      </c>
      <c r="R118" s="102">
        <f t="shared" si="3"/>
        <v>7.3076923076923075</v>
      </c>
    </row>
    <row r="119" spans="1:18" x14ac:dyDescent="0.25">
      <c r="A119" s="75">
        <v>14501114</v>
      </c>
      <c r="B119" s="98" t="s">
        <v>178</v>
      </c>
      <c r="C119" s="68" t="s">
        <v>187</v>
      </c>
      <c r="D119" s="77">
        <v>8</v>
      </c>
      <c r="E119" s="77">
        <v>7</v>
      </c>
      <c r="F119" s="77">
        <v>8</v>
      </c>
      <c r="G119" s="77">
        <v>7</v>
      </c>
      <c r="H119" s="77">
        <v>7</v>
      </c>
      <c r="I119" s="77">
        <v>7</v>
      </c>
      <c r="J119" s="77">
        <v>8</v>
      </c>
      <c r="K119" s="77">
        <v>7</v>
      </c>
      <c r="L119" s="77">
        <v>7</v>
      </c>
      <c r="M119" s="77">
        <v>7</v>
      </c>
      <c r="N119" s="77">
        <v>7</v>
      </c>
      <c r="O119" s="77">
        <v>8</v>
      </c>
      <c r="P119" s="140">
        <v>8</v>
      </c>
      <c r="Q119" s="74">
        <f t="shared" si="2"/>
        <v>96</v>
      </c>
      <c r="R119" s="102">
        <f t="shared" si="3"/>
        <v>7.384615384615385</v>
      </c>
    </row>
    <row r="120" spans="1:18" x14ac:dyDescent="0.25">
      <c r="A120" s="75">
        <v>14501115</v>
      </c>
      <c r="B120" s="98" t="s">
        <v>179</v>
      </c>
      <c r="C120" s="68" t="s">
        <v>187</v>
      </c>
      <c r="D120" s="77">
        <v>7</v>
      </c>
      <c r="E120" s="77">
        <v>8</v>
      </c>
      <c r="F120" s="77">
        <v>7</v>
      </c>
      <c r="G120" s="77">
        <v>7</v>
      </c>
      <c r="H120" s="77">
        <v>7</v>
      </c>
      <c r="I120" s="77">
        <v>7</v>
      </c>
      <c r="J120" s="77">
        <v>7</v>
      </c>
      <c r="K120" s="77">
        <v>8</v>
      </c>
      <c r="L120" s="77">
        <v>7</v>
      </c>
      <c r="M120" s="77">
        <v>7</v>
      </c>
      <c r="N120" s="77">
        <v>7</v>
      </c>
      <c r="O120" s="77">
        <v>8</v>
      </c>
      <c r="P120" s="140">
        <v>8</v>
      </c>
      <c r="Q120" s="74">
        <f t="shared" si="2"/>
        <v>95</v>
      </c>
      <c r="R120" s="102">
        <f t="shared" si="3"/>
        <v>7.3076923076923075</v>
      </c>
    </row>
    <row r="121" spans="1:18" x14ac:dyDescent="0.25">
      <c r="A121" s="75">
        <v>14501116</v>
      </c>
      <c r="B121" s="98" t="s">
        <v>180</v>
      </c>
      <c r="C121" s="68" t="s">
        <v>187</v>
      </c>
      <c r="D121" s="77">
        <v>8</v>
      </c>
      <c r="E121" s="77">
        <v>7</v>
      </c>
      <c r="F121" s="77">
        <v>8</v>
      </c>
      <c r="G121" s="77">
        <v>8</v>
      </c>
      <c r="H121" s="77">
        <v>6</v>
      </c>
      <c r="I121" s="77">
        <v>6</v>
      </c>
      <c r="J121" s="77">
        <v>7</v>
      </c>
      <c r="K121" s="77">
        <v>8</v>
      </c>
      <c r="L121" s="77">
        <v>8</v>
      </c>
      <c r="M121" s="77">
        <v>7</v>
      </c>
      <c r="N121" s="77">
        <v>7</v>
      </c>
      <c r="O121" s="77">
        <v>7</v>
      </c>
      <c r="P121" s="140">
        <v>7</v>
      </c>
      <c r="Q121" s="74">
        <f t="shared" si="2"/>
        <v>94</v>
      </c>
      <c r="R121" s="102">
        <f t="shared" si="3"/>
        <v>7.2307692307692308</v>
      </c>
    </row>
    <row r="122" spans="1:18" x14ac:dyDescent="0.25">
      <c r="A122" s="75">
        <v>14501117</v>
      </c>
      <c r="B122" s="98" t="s">
        <v>181</v>
      </c>
      <c r="C122" s="68" t="s">
        <v>187</v>
      </c>
      <c r="D122" s="77">
        <v>8</v>
      </c>
      <c r="E122" s="77">
        <v>7</v>
      </c>
      <c r="F122" s="77">
        <v>8</v>
      </c>
      <c r="G122" s="77">
        <v>8</v>
      </c>
      <c r="H122" s="77">
        <v>7</v>
      </c>
      <c r="I122" s="77">
        <v>8</v>
      </c>
      <c r="J122" s="77">
        <v>8</v>
      </c>
      <c r="K122" s="77">
        <v>8</v>
      </c>
      <c r="L122" s="77">
        <v>8</v>
      </c>
      <c r="M122" s="77">
        <v>8</v>
      </c>
      <c r="N122" s="77">
        <v>7</v>
      </c>
      <c r="O122" s="77">
        <v>8</v>
      </c>
      <c r="P122" s="140">
        <v>8</v>
      </c>
      <c r="Q122" s="74">
        <f t="shared" si="2"/>
        <v>101</v>
      </c>
      <c r="R122" s="102">
        <f t="shared" si="3"/>
        <v>7.7692307692307692</v>
      </c>
    </row>
    <row r="123" spans="1:18" x14ac:dyDescent="0.25">
      <c r="A123" s="75">
        <v>14501118</v>
      </c>
      <c r="B123" s="98" t="s">
        <v>182</v>
      </c>
      <c r="C123" s="68" t="s">
        <v>187</v>
      </c>
      <c r="D123" s="77">
        <v>8</v>
      </c>
      <c r="E123" s="77">
        <v>8</v>
      </c>
      <c r="F123" s="77">
        <v>7</v>
      </c>
      <c r="G123" s="77">
        <v>8</v>
      </c>
      <c r="H123" s="77">
        <v>7</v>
      </c>
      <c r="I123" s="77">
        <v>6</v>
      </c>
      <c r="J123" s="77">
        <v>8</v>
      </c>
      <c r="K123" s="77">
        <v>7</v>
      </c>
      <c r="L123" s="77">
        <v>7</v>
      </c>
      <c r="M123" s="77">
        <v>7</v>
      </c>
      <c r="N123" s="77">
        <v>7</v>
      </c>
      <c r="O123" s="77">
        <v>8</v>
      </c>
      <c r="P123" s="140">
        <v>7</v>
      </c>
      <c r="Q123" s="74">
        <f t="shared" si="2"/>
        <v>95</v>
      </c>
      <c r="R123" s="102">
        <f t="shared" si="3"/>
        <v>7.3076923076923075</v>
      </c>
    </row>
    <row r="124" spans="1:18" x14ac:dyDescent="0.25">
      <c r="A124" s="75">
        <v>14501119</v>
      </c>
      <c r="B124" s="98" t="s">
        <v>183</v>
      </c>
      <c r="C124" s="68" t="s">
        <v>187</v>
      </c>
      <c r="D124" s="77">
        <v>8</v>
      </c>
      <c r="E124" s="77">
        <v>8</v>
      </c>
      <c r="F124" s="77">
        <v>7</v>
      </c>
      <c r="G124" s="77">
        <v>7</v>
      </c>
      <c r="H124" s="77">
        <v>7</v>
      </c>
      <c r="I124" s="77">
        <v>8</v>
      </c>
      <c r="J124" s="77">
        <v>8</v>
      </c>
      <c r="K124" s="77">
        <v>7</v>
      </c>
      <c r="L124" s="77">
        <v>8</v>
      </c>
      <c r="M124" s="77">
        <v>7</v>
      </c>
      <c r="N124" s="77">
        <v>7</v>
      </c>
      <c r="O124" s="77">
        <v>7</v>
      </c>
      <c r="P124" s="140">
        <v>7</v>
      </c>
      <c r="Q124" s="74">
        <f t="shared" si="2"/>
        <v>96</v>
      </c>
      <c r="R124" s="102">
        <f t="shared" si="3"/>
        <v>7.384615384615385</v>
      </c>
    </row>
    <row r="125" spans="1:18" x14ac:dyDescent="0.25">
      <c r="A125" s="75">
        <v>14501120</v>
      </c>
      <c r="B125" s="98" t="s">
        <v>184</v>
      </c>
      <c r="C125" s="68" t="s">
        <v>187</v>
      </c>
      <c r="D125" s="77">
        <v>7</v>
      </c>
      <c r="E125" s="77">
        <v>7</v>
      </c>
      <c r="F125" s="77">
        <v>7</v>
      </c>
      <c r="G125" s="77">
        <v>6</v>
      </c>
      <c r="H125" s="77">
        <v>7</v>
      </c>
      <c r="I125" s="77">
        <v>6</v>
      </c>
      <c r="J125" s="77">
        <v>8</v>
      </c>
      <c r="K125" s="77">
        <v>7</v>
      </c>
      <c r="L125" s="77">
        <v>7</v>
      </c>
      <c r="M125" s="77">
        <v>7</v>
      </c>
      <c r="N125" s="77">
        <v>6</v>
      </c>
      <c r="O125" s="77">
        <v>7</v>
      </c>
      <c r="P125" s="140">
        <v>7</v>
      </c>
      <c r="Q125" s="74">
        <f t="shared" si="2"/>
        <v>89</v>
      </c>
      <c r="R125" s="102">
        <f t="shared" si="3"/>
        <v>6.8461538461538458</v>
      </c>
    </row>
    <row r="126" spans="1:18" x14ac:dyDescent="0.25">
      <c r="A126" s="75">
        <v>14501121</v>
      </c>
      <c r="B126" s="98" t="s">
        <v>185</v>
      </c>
      <c r="C126" s="68" t="s">
        <v>187</v>
      </c>
      <c r="D126" s="77">
        <v>8</v>
      </c>
      <c r="E126" s="77">
        <v>7</v>
      </c>
      <c r="F126" s="77">
        <v>8</v>
      </c>
      <c r="G126" s="77">
        <v>7</v>
      </c>
      <c r="H126" s="77">
        <v>7</v>
      </c>
      <c r="I126" s="77">
        <v>7</v>
      </c>
      <c r="J126" s="77">
        <v>8</v>
      </c>
      <c r="K126" s="77">
        <v>8</v>
      </c>
      <c r="L126" s="77">
        <v>8</v>
      </c>
      <c r="M126" s="77">
        <v>7</v>
      </c>
      <c r="N126" s="77">
        <v>8</v>
      </c>
      <c r="O126" s="77">
        <v>8</v>
      </c>
      <c r="P126" s="140">
        <v>7</v>
      </c>
      <c r="Q126" s="74">
        <f t="shared" si="2"/>
        <v>98</v>
      </c>
      <c r="R126" s="102">
        <f t="shared" si="3"/>
        <v>7.5384615384615383</v>
      </c>
    </row>
    <row r="127" spans="1:18" x14ac:dyDescent="0.25">
      <c r="A127" s="75">
        <v>14501122</v>
      </c>
      <c r="B127" s="98" t="s">
        <v>186</v>
      </c>
      <c r="C127" s="68" t="s">
        <v>187</v>
      </c>
      <c r="D127" s="77">
        <v>8</v>
      </c>
      <c r="E127" s="77">
        <v>7</v>
      </c>
      <c r="F127" s="77">
        <v>8</v>
      </c>
      <c r="G127" s="77">
        <v>8</v>
      </c>
      <c r="H127" s="77">
        <v>7</v>
      </c>
      <c r="I127" s="77">
        <v>7</v>
      </c>
      <c r="J127" s="77">
        <v>7</v>
      </c>
      <c r="K127" s="77">
        <v>8</v>
      </c>
      <c r="L127" s="77">
        <v>7</v>
      </c>
      <c r="M127" s="77">
        <v>7</v>
      </c>
      <c r="N127" s="77">
        <v>8</v>
      </c>
      <c r="O127" s="77">
        <v>8</v>
      </c>
      <c r="P127" s="140">
        <v>7</v>
      </c>
      <c r="Q127" s="74">
        <f t="shared" si="2"/>
        <v>97</v>
      </c>
      <c r="R127" s="102">
        <f t="shared" si="3"/>
        <v>7.4615384615384617</v>
      </c>
    </row>
    <row r="128" spans="1:18" x14ac:dyDescent="0.25">
      <c r="A128" s="75">
        <v>14501123</v>
      </c>
      <c r="B128" s="98" t="s">
        <v>188</v>
      </c>
      <c r="C128" s="68" t="s">
        <v>219</v>
      </c>
      <c r="D128" s="77">
        <v>8</v>
      </c>
      <c r="E128" s="77">
        <v>8</v>
      </c>
      <c r="F128" s="77">
        <v>8</v>
      </c>
      <c r="G128" s="77">
        <v>8</v>
      </c>
      <c r="H128" s="77">
        <v>6</v>
      </c>
      <c r="I128" s="77">
        <v>6</v>
      </c>
      <c r="J128" s="77">
        <v>7</v>
      </c>
      <c r="K128" s="77">
        <v>8</v>
      </c>
      <c r="L128" s="77">
        <v>8</v>
      </c>
      <c r="M128" s="77">
        <v>8</v>
      </c>
      <c r="N128" s="77">
        <v>7</v>
      </c>
      <c r="O128" s="77">
        <v>7</v>
      </c>
      <c r="P128" s="140">
        <v>7</v>
      </c>
      <c r="Q128" s="74">
        <f t="shared" si="2"/>
        <v>96</v>
      </c>
      <c r="R128" s="102">
        <f t="shared" si="3"/>
        <v>7.384615384615385</v>
      </c>
    </row>
    <row r="129" spans="1:18" x14ac:dyDescent="0.25">
      <c r="A129" s="75">
        <v>14501124</v>
      </c>
      <c r="B129" s="98" t="s">
        <v>189</v>
      </c>
      <c r="C129" s="68" t="s">
        <v>219</v>
      </c>
      <c r="D129" s="77">
        <v>7</v>
      </c>
      <c r="E129" s="77">
        <v>8</v>
      </c>
      <c r="F129" s="77">
        <v>7</v>
      </c>
      <c r="G129" s="77">
        <v>8</v>
      </c>
      <c r="H129" s="77">
        <v>6</v>
      </c>
      <c r="I129" s="77">
        <v>8</v>
      </c>
      <c r="J129" s="77">
        <v>7</v>
      </c>
      <c r="K129" s="77">
        <v>8</v>
      </c>
      <c r="L129" s="77">
        <v>7</v>
      </c>
      <c r="M129" s="77">
        <v>8</v>
      </c>
      <c r="N129" s="77">
        <v>8</v>
      </c>
      <c r="O129" s="77">
        <v>7</v>
      </c>
      <c r="P129" s="140">
        <v>8</v>
      </c>
      <c r="Q129" s="74">
        <f t="shared" si="2"/>
        <v>97</v>
      </c>
      <c r="R129" s="102">
        <f t="shared" si="3"/>
        <v>7.4615384615384617</v>
      </c>
    </row>
    <row r="130" spans="1:18" x14ac:dyDescent="0.25">
      <c r="A130" s="75">
        <v>14501125</v>
      </c>
      <c r="B130" s="98" t="s">
        <v>190</v>
      </c>
      <c r="C130" s="68" t="s">
        <v>219</v>
      </c>
      <c r="D130" s="77">
        <v>7</v>
      </c>
      <c r="E130" s="77">
        <v>8</v>
      </c>
      <c r="F130" s="77">
        <v>8</v>
      </c>
      <c r="G130" s="77">
        <v>7</v>
      </c>
      <c r="H130" s="77">
        <v>8</v>
      </c>
      <c r="I130" s="77">
        <v>7</v>
      </c>
      <c r="J130" s="77">
        <v>8</v>
      </c>
      <c r="K130" s="77">
        <v>7</v>
      </c>
      <c r="L130" s="77">
        <v>8</v>
      </c>
      <c r="M130" s="77">
        <v>8</v>
      </c>
      <c r="N130" s="77">
        <v>8</v>
      </c>
      <c r="O130" s="77">
        <v>8</v>
      </c>
      <c r="P130" s="140">
        <v>7</v>
      </c>
      <c r="Q130" s="74">
        <f t="shared" si="2"/>
        <v>99</v>
      </c>
      <c r="R130" s="102">
        <f t="shared" si="3"/>
        <v>7.615384615384615</v>
      </c>
    </row>
    <row r="131" spans="1:18" x14ac:dyDescent="0.25">
      <c r="A131" s="75">
        <v>14501126</v>
      </c>
      <c r="B131" s="98" t="s">
        <v>191</v>
      </c>
      <c r="C131" s="68" t="s">
        <v>219</v>
      </c>
      <c r="D131" s="77">
        <v>8</v>
      </c>
      <c r="E131" s="77">
        <v>8</v>
      </c>
      <c r="F131" s="77">
        <v>7</v>
      </c>
      <c r="G131" s="77">
        <v>6</v>
      </c>
      <c r="H131" s="77">
        <v>6</v>
      </c>
      <c r="I131" s="77">
        <v>6</v>
      </c>
      <c r="J131" s="77">
        <v>7</v>
      </c>
      <c r="K131" s="77">
        <v>7</v>
      </c>
      <c r="L131" s="77">
        <v>7</v>
      </c>
      <c r="M131" s="77">
        <v>7</v>
      </c>
      <c r="N131" s="77">
        <v>6</v>
      </c>
      <c r="O131" s="77">
        <v>7</v>
      </c>
      <c r="P131" s="140">
        <v>7</v>
      </c>
      <c r="Q131" s="74">
        <f t="shared" si="2"/>
        <v>89</v>
      </c>
      <c r="R131" s="102">
        <f t="shared" si="3"/>
        <v>6.8461538461538458</v>
      </c>
    </row>
    <row r="132" spans="1:18" x14ac:dyDescent="0.25">
      <c r="A132" s="75">
        <v>14501127</v>
      </c>
      <c r="B132" s="98" t="s">
        <v>192</v>
      </c>
      <c r="C132" s="68" t="s">
        <v>219</v>
      </c>
      <c r="D132" s="77">
        <v>7</v>
      </c>
      <c r="E132" s="77">
        <v>7</v>
      </c>
      <c r="F132" s="77">
        <v>7</v>
      </c>
      <c r="G132" s="77">
        <v>8</v>
      </c>
      <c r="H132" s="77">
        <v>7</v>
      </c>
      <c r="I132" s="77">
        <v>7</v>
      </c>
      <c r="J132" s="77">
        <v>7</v>
      </c>
      <c r="K132" s="77">
        <v>8</v>
      </c>
      <c r="L132" s="77">
        <v>8</v>
      </c>
      <c r="M132" s="77">
        <v>8</v>
      </c>
      <c r="N132" s="77">
        <v>8</v>
      </c>
      <c r="O132" s="77">
        <v>8</v>
      </c>
      <c r="P132" s="140">
        <v>7</v>
      </c>
      <c r="Q132" s="74">
        <f t="shared" si="2"/>
        <v>97</v>
      </c>
      <c r="R132" s="102">
        <f t="shared" si="3"/>
        <v>7.4615384615384617</v>
      </c>
    </row>
    <row r="133" spans="1:18" x14ac:dyDescent="0.25">
      <c r="A133" s="75">
        <v>14501128</v>
      </c>
      <c r="B133" s="98" t="s">
        <v>193</v>
      </c>
      <c r="C133" s="68" t="s">
        <v>219</v>
      </c>
      <c r="D133" s="77">
        <v>8</v>
      </c>
      <c r="E133" s="77">
        <v>7</v>
      </c>
      <c r="F133" s="77">
        <v>7</v>
      </c>
      <c r="G133" s="77">
        <v>8</v>
      </c>
      <c r="H133" s="77">
        <v>6</v>
      </c>
      <c r="I133" s="77">
        <v>7</v>
      </c>
      <c r="J133" s="77">
        <v>7</v>
      </c>
      <c r="K133" s="77">
        <v>7</v>
      </c>
      <c r="L133" s="77">
        <v>8</v>
      </c>
      <c r="M133" s="77">
        <v>7</v>
      </c>
      <c r="N133" s="77">
        <v>7</v>
      </c>
      <c r="O133" s="77">
        <v>8</v>
      </c>
      <c r="P133" s="140">
        <v>7</v>
      </c>
      <c r="Q133" s="74">
        <f t="shared" si="2"/>
        <v>94</v>
      </c>
      <c r="R133" s="102">
        <f t="shared" si="3"/>
        <v>7.2307692307692308</v>
      </c>
    </row>
    <row r="134" spans="1:18" x14ac:dyDescent="0.25">
      <c r="A134" s="75">
        <v>14501129</v>
      </c>
      <c r="B134" s="98" t="s">
        <v>194</v>
      </c>
      <c r="C134" s="68" t="s">
        <v>219</v>
      </c>
      <c r="D134" s="77">
        <v>7</v>
      </c>
      <c r="E134" s="77">
        <v>7</v>
      </c>
      <c r="F134" s="77">
        <v>7</v>
      </c>
      <c r="G134" s="77">
        <v>7</v>
      </c>
      <c r="H134" s="77">
        <v>7</v>
      </c>
      <c r="I134" s="77">
        <v>8</v>
      </c>
      <c r="J134" s="77">
        <v>7</v>
      </c>
      <c r="K134" s="77">
        <v>8</v>
      </c>
      <c r="L134" s="77">
        <v>8</v>
      </c>
      <c r="M134" s="77">
        <v>8</v>
      </c>
      <c r="N134" s="77">
        <v>8</v>
      </c>
      <c r="O134" s="77">
        <v>7</v>
      </c>
      <c r="P134" s="140">
        <v>7</v>
      </c>
      <c r="Q134" s="74">
        <f t="shared" si="2"/>
        <v>96</v>
      </c>
      <c r="R134" s="102">
        <f t="shared" si="3"/>
        <v>7.384615384615385</v>
      </c>
    </row>
    <row r="135" spans="1:18" x14ac:dyDescent="0.25">
      <c r="A135" s="75">
        <v>14501130</v>
      </c>
      <c r="B135" s="98" t="s">
        <v>195</v>
      </c>
      <c r="C135" s="68" t="s">
        <v>219</v>
      </c>
      <c r="D135" s="77">
        <v>7</v>
      </c>
      <c r="E135" s="77">
        <v>8</v>
      </c>
      <c r="F135" s="77">
        <v>7</v>
      </c>
      <c r="G135" s="77">
        <v>8</v>
      </c>
      <c r="H135" s="77">
        <v>7</v>
      </c>
      <c r="I135" s="77">
        <v>6</v>
      </c>
      <c r="J135" s="77">
        <v>7</v>
      </c>
      <c r="K135" s="77">
        <v>7</v>
      </c>
      <c r="L135" s="77">
        <v>8</v>
      </c>
      <c r="M135" s="77">
        <v>7</v>
      </c>
      <c r="N135" s="77">
        <v>8</v>
      </c>
      <c r="O135" s="77">
        <v>8</v>
      </c>
      <c r="P135" s="140">
        <v>7</v>
      </c>
      <c r="Q135" s="74">
        <f t="shared" ref="Q135:Q188" si="4">SUM(D135:P135)</f>
        <v>95</v>
      </c>
      <c r="R135" s="102">
        <f t="shared" ref="R135:R188" si="5">AVERAGE(D135:P135)</f>
        <v>7.3076923076923075</v>
      </c>
    </row>
    <row r="136" spans="1:18" x14ac:dyDescent="0.25">
      <c r="A136" s="75">
        <v>14501131</v>
      </c>
      <c r="B136" s="98" t="s">
        <v>196</v>
      </c>
      <c r="C136" s="68" t="s">
        <v>219</v>
      </c>
      <c r="D136" s="77">
        <v>8</v>
      </c>
      <c r="E136" s="77">
        <v>8</v>
      </c>
      <c r="F136" s="77">
        <v>8</v>
      </c>
      <c r="G136" s="77">
        <v>8</v>
      </c>
      <c r="H136" s="77">
        <v>7</v>
      </c>
      <c r="I136" s="77">
        <v>7</v>
      </c>
      <c r="J136" s="77">
        <v>8</v>
      </c>
      <c r="K136" s="77">
        <v>8</v>
      </c>
      <c r="L136" s="77">
        <v>7</v>
      </c>
      <c r="M136" s="77">
        <v>8</v>
      </c>
      <c r="N136" s="77">
        <v>7</v>
      </c>
      <c r="O136" s="77">
        <v>8</v>
      </c>
      <c r="P136" s="140">
        <v>8</v>
      </c>
      <c r="Q136" s="74">
        <f t="shared" si="4"/>
        <v>100</v>
      </c>
      <c r="R136" s="102">
        <f t="shared" si="5"/>
        <v>7.6923076923076925</v>
      </c>
    </row>
    <row r="137" spans="1:18" x14ac:dyDescent="0.25">
      <c r="A137" s="75">
        <v>14501132</v>
      </c>
      <c r="B137" s="98" t="s">
        <v>197</v>
      </c>
      <c r="C137" s="68" t="s">
        <v>219</v>
      </c>
      <c r="D137" s="77">
        <v>7</v>
      </c>
      <c r="E137" s="77">
        <v>8</v>
      </c>
      <c r="F137" s="77">
        <v>7</v>
      </c>
      <c r="G137" s="77">
        <v>8</v>
      </c>
      <c r="H137" s="77">
        <v>7</v>
      </c>
      <c r="I137" s="77">
        <v>7</v>
      </c>
      <c r="J137" s="77">
        <v>8</v>
      </c>
      <c r="K137" s="77">
        <v>8</v>
      </c>
      <c r="L137" s="77">
        <v>8</v>
      </c>
      <c r="M137" s="77">
        <v>7</v>
      </c>
      <c r="N137" s="77">
        <v>7</v>
      </c>
      <c r="O137" s="77">
        <v>8</v>
      </c>
      <c r="P137" s="140">
        <v>8</v>
      </c>
      <c r="Q137" s="74">
        <f t="shared" si="4"/>
        <v>98</v>
      </c>
      <c r="R137" s="102">
        <f t="shared" si="5"/>
        <v>7.5384615384615383</v>
      </c>
    </row>
    <row r="138" spans="1:18" x14ac:dyDescent="0.25">
      <c r="A138" s="75">
        <v>14501133</v>
      </c>
      <c r="B138" s="98" t="s">
        <v>198</v>
      </c>
      <c r="C138" s="68" t="s">
        <v>219</v>
      </c>
      <c r="D138" s="77">
        <v>8</v>
      </c>
      <c r="E138" s="77">
        <v>8</v>
      </c>
      <c r="F138" s="77" t="s">
        <v>265</v>
      </c>
      <c r="G138" s="77" t="s">
        <v>265</v>
      </c>
      <c r="H138" s="77">
        <v>6</v>
      </c>
      <c r="I138" s="77">
        <v>6</v>
      </c>
      <c r="J138" s="77" t="s">
        <v>265</v>
      </c>
      <c r="K138" s="77">
        <v>8</v>
      </c>
      <c r="L138" s="77" t="s">
        <v>265</v>
      </c>
      <c r="M138" s="77" t="s">
        <v>265</v>
      </c>
      <c r="N138" s="77">
        <v>8</v>
      </c>
      <c r="O138" s="77" t="s">
        <v>265</v>
      </c>
      <c r="P138" s="140" t="s">
        <v>266</v>
      </c>
      <c r="Q138" s="74">
        <f t="shared" si="4"/>
        <v>44</v>
      </c>
      <c r="R138" s="102">
        <f t="shared" si="5"/>
        <v>7.333333333333333</v>
      </c>
    </row>
    <row r="139" spans="1:18" x14ac:dyDescent="0.25">
      <c r="A139" s="75">
        <v>14501134</v>
      </c>
      <c r="B139" s="98" t="s">
        <v>199</v>
      </c>
      <c r="C139" s="68" t="s">
        <v>219</v>
      </c>
      <c r="D139" s="77">
        <v>8</v>
      </c>
      <c r="E139" s="77">
        <v>8</v>
      </c>
      <c r="F139" s="77">
        <v>7</v>
      </c>
      <c r="G139" s="77">
        <v>8</v>
      </c>
      <c r="H139" s="77">
        <v>6</v>
      </c>
      <c r="I139" s="77">
        <v>7</v>
      </c>
      <c r="J139" s="77">
        <v>7</v>
      </c>
      <c r="K139" s="77">
        <v>7</v>
      </c>
      <c r="L139" s="77">
        <v>8</v>
      </c>
      <c r="M139" s="77">
        <v>8</v>
      </c>
      <c r="N139" s="77">
        <v>7</v>
      </c>
      <c r="O139" s="77">
        <v>7</v>
      </c>
      <c r="P139" s="140">
        <v>8</v>
      </c>
      <c r="Q139" s="74">
        <f t="shared" si="4"/>
        <v>96</v>
      </c>
      <c r="R139" s="102">
        <f t="shared" si="5"/>
        <v>7.384615384615385</v>
      </c>
    </row>
    <row r="140" spans="1:18" x14ac:dyDescent="0.25">
      <c r="A140" s="75">
        <v>14501135</v>
      </c>
      <c r="B140" s="98" t="s">
        <v>200</v>
      </c>
      <c r="C140" s="68" t="s">
        <v>219</v>
      </c>
      <c r="D140" s="77">
        <v>8</v>
      </c>
      <c r="E140" s="77">
        <v>7</v>
      </c>
      <c r="F140" s="77">
        <v>8</v>
      </c>
      <c r="G140" s="77">
        <v>7</v>
      </c>
      <c r="H140" s="77">
        <v>8</v>
      </c>
      <c r="I140" s="77">
        <v>7</v>
      </c>
      <c r="J140" s="77">
        <v>7</v>
      </c>
      <c r="K140" s="77">
        <v>8</v>
      </c>
      <c r="L140" s="77">
        <v>8</v>
      </c>
      <c r="M140" s="77">
        <v>7</v>
      </c>
      <c r="N140" s="77">
        <v>7</v>
      </c>
      <c r="O140" s="77">
        <v>8</v>
      </c>
      <c r="P140" s="140">
        <v>7</v>
      </c>
      <c r="Q140" s="74">
        <f t="shared" si="4"/>
        <v>97</v>
      </c>
      <c r="R140" s="102">
        <f t="shared" si="5"/>
        <v>7.4615384615384617</v>
      </c>
    </row>
    <row r="141" spans="1:18" x14ac:dyDescent="0.25">
      <c r="A141" s="75">
        <v>14501136</v>
      </c>
      <c r="B141" s="98" t="s">
        <v>201</v>
      </c>
      <c r="C141" s="68" t="s">
        <v>219</v>
      </c>
      <c r="D141" s="77">
        <v>8</v>
      </c>
      <c r="E141" s="77">
        <v>8</v>
      </c>
      <c r="F141" s="77">
        <v>8</v>
      </c>
      <c r="G141" s="77">
        <v>6</v>
      </c>
      <c r="H141" s="77">
        <v>7</v>
      </c>
      <c r="I141" s="77">
        <v>7</v>
      </c>
      <c r="J141" s="77">
        <v>7</v>
      </c>
      <c r="K141" s="77">
        <v>8</v>
      </c>
      <c r="L141" s="77">
        <v>7</v>
      </c>
      <c r="M141" s="77">
        <v>7</v>
      </c>
      <c r="N141" s="77">
        <v>6</v>
      </c>
      <c r="O141" s="77">
        <v>7</v>
      </c>
      <c r="P141" s="140">
        <v>7</v>
      </c>
      <c r="Q141" s="74">
        <f t="shared" si="4"/>
        <v>93</v>
      </c>
      <c r="R141" s="102">
        <f t="shared" si="5"/>
        <v>7.1538461538461542</v>
      </c>
    </row>
    <row r="142" spans="1:18" x14ac:dyDescent="0.25">
      <c r="A142" s="75">
        <v>14501137</v>
      </c>
      <c r="B142" s="98" t="s">
        <v>202</v>
      </c>
      <c r="C142" s="68" t="s">
        <v>219</v>
      </c>
      <c r="D142" s="77">
        <v>7</v>
      </c>
      <c r="E142" s="77">
        <v>8</v>
      </c>
      <c r="F142" s="77">
        <v>8</v>
      </c>
      <c r="G142" s="77">
        <v>7</v>
      </c>
      <c r="H142" s="77">
        <v>8</v>
      </c>
      <c r="I142" s="77">
        <v>7</v>
      </c>
      <c r="J142" s="77">
        <v>7</v>
      </c>
      <c r="K142" s="77">
        <v>8</v>
      </c>
      <c r="L142" s="77">
        <v>8</v>
      </c>
      <c r="M142" s="77">
        <v>7</v>
      </c>
      <c r="N142" s="77">
        <v>8</v>
      </c>
      <c r="O142" s="77">
        <v>8</v>
      </c>
      <c r="P142" s="140">
        <v>7</v>
      </c>
      <c r="Q142" s="74">
        <f t="shared" si="4"/>
        <v>98</v>
      </c>
      <c r="R142" s="102">
        <f t="shared" si="5"/>
        <v>7.5384615384615383</v>
      </c>
    </row>
    <row r="143" spans="1:18" x14ac:dyDescent="0.25">
      <c r="A143" s="75">
        <v>14501138</v>
      </c>
      <c r="B143" s="98" t="s">
        <v>203</v>
      </c>
      <c r="C143" s="68" t="s">
        <v>219</v>
      </c>
      <c r="D143" s="77">
        <v>7</v>
      </c>
      <c r="E143" s="77">
        <v>7</v>
      </c>
      <c r="F143" s="77">
        <v>8</v>
      </c>
      <c r="G143" s="77">
        <v>8</v>
      </c>
      <c r="H143" s="77">
        <v>7</v>
      </c>
      <c r="I143" s="77">
        <v>8</v>
      </c>
      <c r="J143" s="77">
        <v>8</v>
      </c>
      <c r="K143" s="77">
        <v>8</v>
      </c>
      <c r="L143" s="77">
        <v>7</v>
      </c>
      <c r="M143" s="77">
        <v>7</v>
      </c>
      <c r="N143" s="77">
        <v>7</v>
      </c>
      <c r="O143" s="77">
        <v>8</v>
      </c>
      <c r="P143" s="140">
        <v>8</v>
      </c>
      <c r="Q143" s="74">
        <f t="shared" si="4"/>
        <v>98</v>
      </c>
      <c r="R143" s="102">
        <f t="shared" si="5"/>
        <v>7.5384615384615383</v>
      </c>
    </row>
    <row r="144" spans="1:18" x14ac:dyDescent="0.25">
      <c r="A144" s="75">
        <v>14501139</v>
      </c>
      <c r="B144" s="98" t="s">
        <v>204</v>
      </c>
      <c r="C144" s="68" t="s">
        <v>219</v>
      </c>
      <c r="D144" s="77">
        <v>8</v>
      </c>
      <c r="E144" s="77">
        <v>8</v>
      </c>
      <c r="F144" s="77">
        <v>7</v>
      </c>
      <c r="G144" s="77">
        <v>8</v>
      </c>
      <c r="H144" s="77">
        <v>7</v>
      </c>
      <c r="I144" s="77">
        <v>7</v>
      </c>
      <c r="J144" s="77">
        <v>7</v>
      </c>
      <c r="K144" s="77">
        <v>8</v>
      </c>
      <c r="L144" s="77">
        <v>7</v>
      </c>
      <c r="M144" s="77">
        <v>8</v>
      </c>
      <c r="N144" s="77">
        <v>7</v>
      </c>
      <c r="O144" s="77">
        <v>8</v>
      </c>
      <c r="P144" s="140">
        <v>7</v>
      </c>
      <c r="Q144" s="74">
        <f t="shared" si="4"/>
        <v>97</v>
      </c>
      <c r="R144" s="102">
        <f t="shared" si="5"/>
        <v>7.4615384615384617</v>
      </c>
    </row>
    <row r="145" spans="1:18" x14ac:dyDescent="0.25">
      <c r="A145" s="75">
        <v>14501140</v>
      </c>
      <c r="B145" s="98" t="s">
        <v>205</v>
      </c>
      <c r="C145" s="68" t="s">
        <v>219</v>
      </c>
      <c r="D145" s="77">
        <v>8</v>
      </c>
      <c r="E145" s="77">
        <v>8</v>
      </c>
      <c r="F145" s="77">
        <v>8</v>
      </c>
      <c r="G145" s="77">
        <v>7</v>
      </c>
      <c r="H145" s="77">
        <v>6</v>
      </c>
      <c r="I145" s="77">
        <v>6</v>
      </c>
      <c r="J145" s="77">
        <v>7</v>
      </c>
      <c r="K145" s="77">
        <v>7</v>
      </c>
      <c r="L145" s="77">
        <v>8</v>
      </c>
      <c r="M145" s="77">
        <v>7</v>
      </c>
      <c r="N145" s="77">
        <v>7</v>
      </c>
      <c r="O145" s="77">
        <v>7</v>
      </c>
      <c r="P145" s="140">
        <v>7</v>
      </c>
      <c r="Q145" s="74">
        <f t="shared" si="4"/>
        <v>93</v>
      </c>
      <c r="R145" s="102">
        <f t="shared" si="5"/>
        <v>7.1538461538461542</v>
      </c>
    </row>
    <row r="146" spans="1:18" x14ac:dyDescent="0.25">
      <c r="A146" s="75">
        <v>14501141</v>
      </c>
      <c r="B146" s="98" t="s">
        <v>206</v>
      </c>
      <c r="C146" s="68" t="s">
        <v>219</v>
      </c>
      <c r="D146" s="77">
        <v>8</v>
      </c>
      <c r="E146" s="77">
        <v>7</v>
      </c>
      <c r="F146" s="77">
        <v>8</v>
      </c>
      <c r="G146" s="77">
        <v>8</v>
      </c>
      <c r="H146" s="77">
        <v>6</v>
      </c>
      <c r="I146" s="77">
        <v>8</v>
      </c>
      <c r="J146" s="77">
        <v>7</v>
      </c>
      <c r="K146" s="77">
        <v>8</v>
      </c>
      <c r="L146" s="77">
        <v>7</v>
      </c>
      <c r="M146" s="77">
        <v>8</v>
      </c>
      <c r="N146" s="77">
        <v>8</v>
      </c>
      <c r="O146" s="77">
        <v>7</v>
      </c>
      <c r="P146" s="140">
        <v>8</v>
      </c>
      <c r="Q146" s="74">
        <f t="shared" si="4"/>
        <v>98</v>
      </c>
      <c r="R146" s="102">
        <f t="shared" si="5"/>
        <v>7.5384615384615383</v>
      </c>
    </row>
    <row r="147" spans="1:18" x14ac:dyDescent="0.25">
      <c r="A147" s="75">
        <v>14501142</v>
      </c>
      <c r="B147" s="98" t="s">
        <v>207</v>
      </c>
      <c r="C147" s="68" t="s">
        <v>219</v>
      </c>
      <c r="D147" s="77">
        <v>7</v>
      </c>
      <c r="E147" s="77">
        <v>8</v>
      </c>
      <c r="F147" s="77">
        <v>8</v>
      </c>
      <c r="G147" s="77">
        <v>7</v>
      </c>
      <c r="H147" s="77">
        <v>7</v>
      </c>
      <c r="I147" s="77">
        <v>7</v>
      </c>
      <c r="J147" s="77">
        <v>8</v>
      </c>
      <c r="K147" s="77">
        <v>7</v>
      </c>
      <c r="L147" s="77">
        <v>8</v>
      </c>
      <c r="M147" s="77">
        <v>7</v>
      </c>
      <c r="N147" s="77">
        <v>7</v>
      </c>
      <c r="O147" s="77">
        <v>8</v>
      </c>
      <c r="P147" s="140">
        <v>7</v>
      </c>
      <c r="Q147" s="74">
        <f t="shared" si="4"/>
        <v>96</v>
      </c>
      <c r="R147" s="102">
        <f t="shared" si="5"/>
        <v>7.384615384615385</v>
      </c>
    </row>
    <row r="148" spans="1:18" x14ac:dyDescent="0.25">
      <c r="A148" s="75">
        <v>14501143</v>
      </c>
      <c r="B148" s="98" t="s">
        <v>208</v>
      </c>
      <c r="C148" s="68" t="s">
        <v>219</v>
      </c>
      <c r="D148" s="77">
        <v>8</v>
      </c>
      <c r="E148" s="77">
        <v>8</v>
      </c>
      <c r="F148" s="77">
        <v>7</v>
      </c>
      <c r="G148" s="77">
        <v>6</v>
      </c>
      <c r="H148" s="77">
        <v>6</v>
      </c>
      <c r="I148" s="77">
        <v>6</v>
      </c>
      <c r="J148" s="77">
        <v>7</v>
      </c>
      <c r="K148" s="77">
        <v>7</v>
      </c>
      <c r="L148" s="77">
        <v>8</v>
      </c>
      <c r="M148" s="77">
        <v>7</v>
      </c>
      <c r="N148" s="77">
        <v>6</v>
      </c>
      <c r="O148" s="77">
        <v>7</v>
      </c>
      <c r="P148" s="140">
        <v>7</v>
      </c>
      <c r="Q148" s="74">
        <f t="shared" si="4"/>
        <v>90</v>
      </c>
      <c r="R148" s="102">
        <f t="shared" si="5"/>
        <v>6.9230769230769234</v>
      </c>
    </row>
    <row r="149" spans="1:18" x14ac:dyDescent="0.25">
      <c r="A149" s="75">
        <v>14501144</v>
      </c>
      <c r="B149" s="98" t="s">
        <v>209</v>
      </c>
      <c r="C149" s="68" t="s">
        <v>219</v>
      </c>
      <c r="D149" s="77">
        <v>7</v>
      </c>
      <c r="E149" s="77">
        <v>7</v>
      </c>
      <c r="F149" s="77">
        <v>7</v>
      </c>
      <c r="G149" s="77">
        <v>8</v>
      </c>
      <c r="H149" s="77">
        <v>7</v>
      </c>
      <c r="I149" s="77">
        <v>8</v>
      </c>
      <c r="J149" s="77">
        <v>7</v>
      </c>
      <c r="K149" s="77">
        <v>8</v>
      </c>
      <c r="L149" s="77">
        <v>8</v>
      </c>
      <c r="M149" s="77">
        <v>7</v>
      </c>
      <c r="N149" s="77">
        <v>8</v>
      </c>
      <c r="O149" s="77">
        <v>8</v>
      </c>
      <c r="P149" s="140">
        <v>7</v>
      </c>
      <c r="Q149" s="74">
        <f t="shared" si="4"/>
        <v>97</v>
      </c>
      <c r="R149" s="102">
        <f t="shared" si="5"/>
        <v>7.4615384615384617</v>
      </c>
    </row>
    <row r="150" spans="1:18" x14ac:dyDescent="0.25">
      <c r="A150" s="75">
        <v>14501145</v>
      </c>
      <c r="B150" s="98" t="s">
        <v>210</v>
      </c>
      <c r="C150" s="68" t="s">
        <v>219</v>
      </c>
      <c r="D150" s="77">
        <v>8</v>
      </c>
      <c r="E150" s="77">
        <v>7</v>
      </c>
      <c r="F150" s="77">
        <v>7</v>
      </c>
      <c r="G150" s="77">
        <v>7</v>
      </c>
      <c r="H150" s="77">
        <v>6</v>
      </c>
      <c r="I150" s="77">
        <v>7</v>
      </c>
      <c r="J150" s="77">
        <v>8</v>
      </c>
      <c r="K150" s="77">
        <v>7</v>
      </c>
      <c r="L150" s="77">
        <v>8</v>
      </c>
      <c r="M150" s="77">
        <v>7</v>
      </c>
      <c r="N150" s="77">
        <v>7</v>
      </c>
      <c r="O150" s="77">
        <v>8</v>
      </c>
      <c r="P150" s="140">
        <v>7</v>
      </c>
      <c r="Q150" s="74">
        <f t="shared" si="4"/>
        <v>94</v>
      </c>
      <c r="R150" s="102">
        <f t="shared" si="5"/>
        <v>7.2307692307692308</v>
      </c>
    </row>
    <row r="151" spans="1:18" x14ac:dyDescent="0.25">
      <c r="A151" s="75">
        <v>14501146</v>
      </c>
      <c r="B151" s="98" t="s">
        <v>211</v>
      </c>
      <c r="C151" s="68" t="s">
        <v>219</v>
      </c>
      <c r="D151" s="77">
        <v>7</v>
      </c>
      <c r="E151" s="77">
        <v>8</v>
      </c>
      <c r="F151" s="77">
        <v>8</v>
      </c>
      <c r="G151" s="77">
        <v>8</v>
      </c>
      <c r="H151" s="77">
        <v>8</v>
      </c>
      <c r="I151" s="77">
        <v>7</v>
      </c>
      <c r="J151" s="77">
        <v>7</v>
      </c>
      <c r="K151" s="77">
        <v>8</v>
      </c>
      <c r="L151" s="77">
        <v>8</v>
      </c>
      <c r="M151" s="77">
        <v>7</v>
      </c>
      <c r="N151" s="77">
        <v>7</v>
      </c>
      <c r="O151" s="77">
        <v>8</v>
      </c>
      <c r="P151" s="140">
        <v>7</v>
      </c>
      <c r="Q151" s="74">
        <f t="shared" si="4"/>
        <v>98</v>
      </c>
      <c r="R151" s="102">
        <f t="shared" si="5"/>
        <v>7.5384615384615383</v>
      </c>
    </row>
    <row r="152" spans="1:18" x14ac:dyDescent="0.25">
      <c r="A152" s="75">
        <v>14501147</v>
      </c>
      <c r="B152" s="98" t="s">
        <v>212</v>
      </c>
      <c r="C152" s="68" t="s">
        <v>219</v>
      </c>
      <c r="D152" s="77">
        <v>8</v>
      </c>
      <c r="E152" s="77">
        <v>7</v>
      </c>
      <c r="F152" s="77">
        <v>8</v>
      </c>
      <c r="G152" s="77">
        <v>8</v>
      </c>
      <c r="H152" s="77">
        <v>7</v>
      </c>
      <c r="I152" s="77">
        <v>7</v>
      </c>
      <c r="J152" s="77">
        <v>8</v>
      </c>
      <c r="K152" s="77">
        <v>8</v>
      </c>
      <c r="L152" s="77">
        <v>7</v>
      </c>
      <c r="M152" s="77">
        <v>8</v>
      </c>
      <c r="N152" s="77">
        <v>7</v>
      </c>
      <c r="O152" s="77">
        <v>8</v>
      </c>
      <c r="P152" s="140">
        <v>8</v>
      </c>
      <c r="Q152" s="74">
        <f t="shared" si="4"/>
        <v>99</v>
      </c>
      <c r="R152" s="102">
        <f t="shared" si="5"/>
        <v>7.615384615384615</v>
      </c>
    </row>
    <row r="153" spans="1:18" x14ac:dyDescent="0.25">
      <c r="A153" s="75">
        <v>14501148</v>
      </c>
      <c r="B153" s="98" t="s">
        <v>213</v>
      </c>
      <c r="C153" s="68" t="s">
        <v>219</v>
      </c>
      <c r="D153" s="77">
        <v>8</v>
      </c>
      <c r="E153" s="77">
        <v>8</v>
      </c>
      <c r="F153" s="77">
        <v>8</v>
      </c>
      <c r="G153" s="77">
        <v>8</v>
      </c>
      <c r="H153" s="77">
        <v>7</v>
      </c>
      <c r="I153" s="77">
        <v>7</v>
      </c>
      <c r="J153" s="77">
        <v>7</v>
      </c>
      <c r="K153" s="77">
        <v>8</v>
      </c>
      <c r="L153" s="77">
        <v>8</v>
      </c>
      <c r="M153" s="77">
        <v>7</v>
      </c>
      <c r="N153" s="77">
        <v>7</v>
      </c>
      <c r="O153" s="77">
        <v>8</v>
      </c>
      <c r="P153" s="140">
        <v>7</v>
      </c>
      <c r="Q153" s="74">
        <f t="shared" si="4"/>
        <v>98</v>
      </c>
      <c r="R153" s="102">
        <f t="shared" si="5"/>
        <v>7.5384615384615383</v>
      </c>
    </row>
    <row r="154" spans="1:18" x14ac:dyDescent="0.25">
      <c r="A154" s="75">
        <v>14501149</v>
      </c>
      <c r="B154" s="98" t="s">
        <v>214</v>
      </c>
      <c r="C154" s="68" t="s">
        <v>219</v>
      </c>
      <c r="D154" s="77">
        <v>8</v>
      </c>
      <c r="E154" s="77">
        <v>7</v>
      </c>
      <c r="F154" s="77">
        <v>7</v>
      </c>
      <c r="G154" s="77">
        <v>8</v>
      </c>
      <c r="H154" s="77">
        <v>6</v>
      </c>
      <c r="I154" s="77">
        <v>8</v>
      </c>
      <c r="J154" s="77">
        <v>7</v>
      </c>
      <c r="K154" s="77">
        <v>8</v>
      </c>
      <c r="L154" s="77">
        <v>8</v>
      </c>
      <c r="M154" s="77">
        <v>7</v>
      </c>
      <c r="N154" s="77">
        <v>7</v>
      </c>
      <c r="O154" s="77">
        <v>7</v>
      </c>
      <c r="P154" s="140">
        <v>7</v>
      </c>
      <c r="Q154" s="74">
        <f t="shared" si="4"/>
        <v>95</v>
      </c>
      <c r="R154" s="102">
        <f t="shared" si="5"/>
        <v>7.3076923076923075</v>
      </c>
    </row>
    <row r="155" spans="1:18" x14ac:dyDescent="0.25">
      <c r="A155" s="75">
        <v>14501150</v>
      </c>
      <c r="B155" s="98" t="s">
        <v>215</v>
      </c>
      <c r="C155" s="68" t="s">
        <v>219</v>
      </c>
      <c r="D155" s="77">
        <v>7</v>
      </c>
      <c r="E155" s="77">
        <v>7</v>
      </c>
      <c r="F155" s="77">
        <v>8</v>
      </c>
      <c r="G155" s="77">
        <v>8</v>
      </c>
      <c r="H155" s="77">
        <v>6</v>
      </c>
      <c r="I155" s="77">
        <v>7</v>
      </c>
      <c r="J155" s="77">
        <v>7</v>
      </c>
      <c r="K155" s="77">
        <v>8</v>
      </c>
      <c r="L155" s="77">
        <v>7</v>
      </c>
      <c r="M155" s="77">
        <v>8</v>
      </c>
      <c r="N155" s="77">
        <v>7</v>
      </c>
      <c r="O155" s="77">
        <v>7</v>
      </c>
      <c r="P155" s="140">
        <v>7</v>
      </c>
      <c r="Q155" s="74">
        <f t="shared" si="4"/>
        <v>94</v>
      </c>
      <c r="R155" s="102">
        <f t="shared" si="5"/>
        <v>7.2307692307692308</v>
      </c>
    </row>
    <row r="156" spans="1:18" x14ac:dyDescent="0.25">
      <c r="A156" s="75">
        <v>14501151</v>
      </c>
      <c r="B156" s="98" t="s">
        <v>216</v>
      </c>
      <c r="C156" s="68" t="s">
        <v>219</v>
      </c>
      <c r="D156" s="77">
        <v>8</v>
      </c>
      <c r="E156" s="77">
        <v>7</v>
      </c>
      <c r="F156" s="77">
        <v>8</v>
      </c>
      <c r="G156" s="77">
        <v>7</v>
      </c>
      <c r="H156" s="77">
        <v>7</v>
      </c>
      <c r="I156" s="77">
        <v>8</v>
      </c>
      <c r="J156" s="77">
        <v>8</v>
      </c>
      <c r="K156" s="77">
        <v>8</v>
      </c>
      <c r="L156" s="77">
        <v>7</v>
      </c>
      <c r="M156" s="77">
        <v>7</v>
      </c>
      <c r="N156" s="77">
        <v>8</v>
      </c>
      <c r="O156" s="77">
        <v>8</v>
      </c>
      <c r="P156" s="140">
        <v>8</v>
      </c>
      <c r="Q156" s="74">
        <f t="shared" si="4"/>
        <v>99</v>
      </c>
      <c r="R156" s="102">
        <f t="shared" si="5"/>
        <v>7.615384615384615</v>
      </c>
    </row>
    <row r="157" spans="1:18" x14ac:dyDescent="0.25">
      <c r="A157" s="75">
        <v>14501152</v>
      </c>
      <c r="B157" s="98" t="s">
        <v>217</v>
      </c>
      <c r="C157" s="68" t="s">
        <v>219</v>
      </c>
      <c r="D157" s="77">
        <v>8</v>
      </c>
      <c r="E157" s="77">
        <v>8</v>
      </c>
      <c r="F157" s="77">
        <v>8</v>
      </c>
      <c r="G157" s="77">
        <v>8</v>
      </c>
      <c r="H157" s="77">
        <v>7</v>
      </c>
      <c r="I157" s="77">
        <v>8</v>
      </c>
      <c r="J157" s="77">
        <v>8</v>
      </c>
      <c r="K157" s="77">
        <v>8</v>
      </c>
      <c r="L157" s="77">
        <v>8</v>
      </c>
      <c r="M157" s="77">
        <v>7</v>
      </c>
      <c r="N157" s="77">
        <v>7</v>
      </c>
      <c r="O157" s="77">
        <v>8</v>
      </c>
      <c r="P157" s="140">
        <v>7</v>
      </c>
      <c r="Q157" s="74">
        <f t="shared" si="4"/>
        <v>100</v>
      </c>
      <c r="R157" s="102">
        <f t="shared" si="5"/>
        <v>7.6923076923076925</v>
      </c>
    </row>
    <row r="158" spans="1:18" x14ac:dyDescent="0.25">
      <c r="A158" s="75">
        <v>14501153</v>
      </c>
      <c r="B158" s="98" t="s">
        <v>218</v>
      </c>
      <c r="C158" s="68" t="s">
        <v>219</v>
      </c>
      <c r="D158" s="77">
        <v>8</v>
      </c>
      <c r="E158" s="77">
        <v>7</v>
      </c>
      <c r="F158" s="77">
        <v>7</v>
      </c>
      <c r="G158" s="77">
        <v>8</v>
      </c>
      <c r="H158" s="77">
        <v>8</v>
      </c>
      <c r="I158" s="77">
        <v>8</v>
      </c>
      <c r="J158" s="77">
        <v>8</v>
      </c>
      <c r="K158" s="77">
        <v>8</v>
      </c>
      <c r="L158" s="77">
        <v>8</v>
      </c>
      <c r="M158" s="77">
        <v>8</v>
      </c>
      <c r="N158" s="77">
        <v>8</v>
      </c>
      <c r="O158" s="77">
        <v>7</v>
      </c>
      <c r="P158" s="140">
        <v>8</v>
      </c>
      <c r="Q158" s="74">
        <f t="shared" si="4"/>
        <v>101</v>
      </c>
      <c r="R158" s="102">
        <f t="shared" si="5"/>
        <v>7.7692307692307692</v>
      </c>
    </row>
    <row r="159" spans="1:18" x14ac:dyDescent="0.25">
      <c r="A159" s="75">
        <v>14501154</v>
      </c>
      <c r="B159" s="98" t="s">
        <v>220</v>
      </c>
      <c r="C159" s="68" t="s">
        <v>249</v>
      </c>
      <c r="D159" s="77">
        <v>7</v>
      </c>
      <c r="E159" s="77">
        <v>7</v>
      </c>
      <c r="F159" s="77">
        <v>7</v>
      </c>
      <c r="G159" s="77">
        <v>8</v>
      </c>
      <c r="H159" s="77">
        <v>6</v>
      </c>
      <c r="I159" s="77">
        <v>8</v>
      </c>
      <c r="J159" s="77">
        <v>7</v>
      </c>
      <c r="K159" s="77">
        <v>8</v>
      </c>
      <c r="L159" s="77">
        <v>7</v>
      </c>
      <c r="M159" s="77">
        <v>8</v>
      </c>
      <c r="N159" s="77">
        <v>8</v>
      </c>
      <c r="O159" s="77">
        <v>7</v>
      </c>
      <c r="P159" s="140">
        <v>8</v>
      </c>
      <c r="Q159" s="74">
        <f t="shared" si="4"/>
        <v>96</v>
      </c>
      <c r="R159" s="102">
        <f t="shared" si="5"/>
        <v>7.384615384615385</v>
      </c>
    </row>
    <row r="160" spans="1:18" x14ac:dyDescent="0.25">
      <c r="A160" s="75">
        <v>14501155</v>
      </c>
      <c r="B160" s="98" t="s">
        <v>221</v>
      </c>
      <c r="C160" s="68" t="s">
        <v>249</v>
      </c>
      <c r="D160" s="77">
        <v>8</v>
      </c>
      <c r="E160" s="77">
        <v>8</v>
      </c>
      <c r="F160" s="77">
        <v>8</v>
      </c>
      <c r="G160" s="77">
        <v>7</v>
      </c>
      <c r="H160" s="77">
        <v>7</v>
      </c>
      <c r="I160" s="77">
        <v>7</v>
      </c>
      <c r="J160" s="77">
        <v>8</v>
      </c>
      <c r="K160" s="77">
        <v>7</v>
      </c>
      <c r="L160" s="77">
        <v>8</v>
      </c>
      <c r="M160" s="77">
        <v>7</v>
      </c>
      <c r="N160" s="77">
        <v>7</v>
      </c>
      <c r="O160" s="77">
        <v>8</v>
      </c>
      <c r="P160" s="140">
        <v>7</v>
      </c>
      <c r="Q160" s="74">
        <f t="shared" si="4"/>
        <v>97</v>
      </c>
      <c r="R160" s="102">
        <f t="shared" si="5"/>
        <v>7.4615384615384617</v>
      </c>
    </row>
    <row r="161" spans="1:18" x14ac:dyDescent="0.25">
      <c r="A161" s="75">
        <v>14501156</v>
      </c>
      <c r="B161" s="98" t="s">
        <v>222</v>
      </c>
      <c r="C161" s="68" t="s">
        <v>249</v>
      </c>
      <c r="D161" s="77">
        <v>7</v>
      </c>
      <c r="E161" s="77">
        <v>6</v>
      </c>
      <c r="F161" s="77">
        <v>7</v>
      </c>
      <c r="G161" s="77">
        <v>6</v>
      </c>
      <c r="H161" s="77">
        <v>6</v>
      </c>
      <c r="I161" s="77">
        <v>6</v>
      </c>
      <c r="J161" s="77">
        <v>7</v>
      </c>
      <c r="K161" s="77">
        <v>7</v>
      </c>
      <c r="L161" s="77">
        <v>8</v>
      </c>
      <c r="M161" s="77">
        <v>7</v>
      </c>
      <c r="N161" s="77">
        <v>6</v>
      </c>
      <c r="O161" s="77">
        <v>7</v>
      </c>
      <c r="P161" s="140">
        <v>7</v>
      </c>
      <c r="Q161" s="74">
        <f t="shared" si="4"/>
        <v>87</v>
      </c>
      <c r="R161" s="102">
        <f t="shared" si="5"/>
        <v>6.6923076923076925</v>
      </c>
    </row>
    <row r="162" spans="1:18" x14ac:dyDescent="0.25">
      <c r="A162" s="75">
        <v>14501157</v>
      </c>
      <c r="B162" s="98" t="s">
        <v>223</v>
      </c>
      <c r="C162" s="68" t="s">
        <v>249</v>
      </c>
      <c r="D162" s="77">
        <v>8</v>
      </c>
      <c r="E162" s="77">
        <v>7</v>
      </c>
      <c r="F162" s="77">
        <v>8</v>
      </c>
      <c r="G162" s="77">
        <v>8</v>
      </c>
      <c r="H162" s="77">
        <v>7</v>
      </c>
      <c r="I162" s="77">
        <v>8</v>
      </c>
      <c r="J162" s="77">
        <v>7</v>
      </c>
      <c r="K162" s="77">
        <v>8</v>
      </c>
      <c r="L162" s="77">
        <v>8</v>
      </c>
      <c r="M162" s="77">
        <v>7</v>
      </c>
      <c r="N162" s="77">
        <v>8</v>
      </c>
      <c r="O162" s="77">
        <v>8</v>
      </c>
      <c r="P162" s="140">
        <v>7</v>
      </c>
      <c r="Q162" s="74">
        <f t="shared" si="4"/>
        <v>99</v>
      </c>
      <c r="R162" s="102">
        <f t="shared" si="5"/>
        <v>7.615384615384615</v>
      </c>
    </row>
    <row r="163" spans="1:18" x14ac:dyDescent="0.25">
      <c r="A163" s="75">
        <v>14501158</v>
      </c>
      <c r="B163" s="98" t="s">
        <v>224</v>
      </c>
      <c r="C163" s="68" t="s">
        <v>249</v>
      </c>
      <c r="D163" s="77">
        <v>8</v>
      </c>
      <c r="E163" s="77">
        <v>7</v>
      </c>
      <c r="F163" s="77">
        <v>7</v>
      </c>
      <c r="G163" s="77">
        <v>8</v>
      </c>
      <c r="H163" s="77">
        <v>6</v>
      </c>
      <c r="I163" s="77">
        <v>7</v>
      </c>
      <c r="J163" s="77">
        <v>8</v>
      </c>
      <c r="K163" s="77">
        <v>7</v>
      </c>
      <c r="L163" s="77">
        <v>8</v>
      </c>
      <c r="M163" s="77">
        <v>7</v>
      </c>
      <c r="N163" s="77">
        <v>7</v>
      </c>
      <c r="O163" s="77">
        <v>8</v>
      </c>
      <c r="P163" s="140">
        <v>7</v>
      </c>
      <c r="Q163" s="74">
        <f t="shared" si="4"/>
        <v>95</v>
      </c>
      <c r="R163" s="102">
        <f t="shared" si="5"/>
        <v>7.3076923076923075</v>
      </c>
    </row>
    <row r="164" spans="1:18" x14ac:dyDescent="0.25">
      <c r="A164" s="75">
        <v>14501159</v>
      </c>
      <c r="B164" s="98" t="s">
        <v>225</v>
      </c>
      <c r="C164" s="68" t="s">
        <v>249</v>
      </c>
      <c r="D164" s="77">
        <v>7</v>
      </c>
      <c r="E164" s="77">
        <v>7</v>
      </c>
      <c r="F164" s="77">
        <v>8</v>
      </c>
      <c r="G164" s="77">
        <v>8</v>
      </c>
      <c r="H164" s="77">
        <v>8</v>
      </c>
      <c r="I164" s="77">
        <v>7</v>
      </c>
      <c r="J164" s="77">
        <v>8</v>
      </c>
      <c r="K164" s="77">
        <v>8</v>
      </c>
      <c r="L164" s="77">
        <v>8</v>
      </c>
      <c r="M164" s="77">
        <v>7</v>
      </c>
      <c r="N164" s="77">
        <v>7</v>
      </c>
      <c r="O164" s="77">
        <v>8</v>
      </c>
      <c r="P164" s="140">
        <v>7</v>
      </c>
      <c r="Q164" s="74">
        <f t="shared" si="4"/>
        <v>98</v>
      </c>
      <c r="R164" s="102">
        <f t="shared" si="5"/>
        <v>7.5384615384615383</v>
      </c>
    </row>
    <row r="165" spans="1:18" x14ac:dyDescent="0.25">
      <c r="A165" s="75">
        <v>14501160</v>
      </c>
      <c r="B165" s="98" t="s">
        <v>226</v>
      </c>
      <c r="C165" s="68" t="s">
        <v>249</v>
      </c>
      <c r="D165" s="77">
        <v>8</v>
      </c>
      <c r="E165" s="77">
        <v>7</v>
      </c>
      <c r="F165" s="77">
        <v>8</v>
      </c>
      <c r="G165" s="77">
        <v>8</v>
      </c>
      <c r="H165" s="77">
        <v>7</v>
      </c>
      <c r="I165" s="77">
        <v>7</v>
      </c>
      <c r="J165" s="77">
        <v>7</v>
      </c>
      <c r="K165" s="77">
        <v>8</v>
      </c>
      <c r="L165" s="77">
        <v>7</v>
      </c>
      <c r="M165" s="77">
        <v>8</v>
      </c>
      <c r="N165" s="77">
        <v>7</v>
      </c>
      <c r="O165" s="77">
        <v>8</v>
      </c>
      <c r="P165" s="140">
        <v>8</v>
      </c>
      <c r="Q165" s="74">
        <f t="shared" si="4"/>
        <v>98</v>
      </c>
      <c r="R165" s="102">
        <f t="shared" si="5"/>
        <v>7.5384615384615383</v>
      </c>
    </row>
    <row r="166" spans="1:18" x14ac:dyDescent="0.25">
      <c r="A166" s="75">
        <v>14501161</v>
      </c>
      <c r="B166" s="98" t="s">
        <v>227</v>
      </c>
      <c r="C166" s="68" t="s">
        <v>249</v>
      </c>
      <c r="D166" s="77">
        <v>7</v>
      </c>
      <c r="E166" s="77">
        <v>7</v>
      </c>
      <c r="F166" s="77">
        <v>8</v>
      </c>
      <c r="G166" s="77">
        <v>8</v>
      </c>
      <c r="H166" s="77">
        <v>7</v>
      </c>
      <c r="I166" s="77">
        <v>7</v>
      </c>
      <c r="J166" s="77">
        <v>7</v>
      </c>
      <c r="K166" s="77">
        <v>8</v>
      </c>
      <c r="L166" s="77">
        <v>8</v>
      </c>
      <c r="M166" s="77">
        <v>7</v>
      </c>
      <c r="N166" s="77">
        <v>7</v>
      </c>
      <c r="O166" s="77">
        <v>8</v>
      </c>
      <c r="P166" s="140">
        <v>7</v>
      </c>
      <c r="Q166" s="74">
        <f t="shared" si="4"/>
        <v>96</v>
      </c>
      <c r="R166" s="102">
        <f t="shared" si="5"/>
        <v>7.384615384615385</v>
      </c>
    </row>
    <row r="167" spans="1:18" x14ac:dyDescent="0.25">
      <c r="A167" s="75">
        <v>14501162</v>
      </c>
      <c r="B167" s="98" t="s">
        <v>51</v>
      </c>
      <c r="C167" s="68" t="s">
        <v>249</v>
      </c>
      <c r="D167" s="77">
        <v>8</v>
      </c>
      <c r="E167" s="77">
        <v>8</v>
      </c>
      <c r="F167" s="77">
        <v>7</v>
      </c>
      <c r="G167" s="77">
        <v>8</v>
      </c>
      <c r="H167" s="77">
        <v>6</v>
      </c>
      <c r="I167" s="77">
        <v>8</v>
      </c>
      <c r="J167" s="77">
        <v>8</v>
      </c>
      <c r="K167" s="77">
        <v>8</v>
      </c>
      <c r="L167" s="77">
        <v>8</v>
      </c>
      <c r="M167" s="77">
        <v>7</v>
      </c>
      <c r="N167" s="77">
        <v>7</v>
      </c>
      <c r="O167" s="77">
        <v>7</v>
      </c>
      <c r="P167" s="140">
        <v>7</v>
      </c>
      <c r="Q167" s="74">
        <f t="shared" si="4"/>
        <v>97</v>
      </c>
      <c r="R167" s="102">
        <f t="shared" si="5"/>
        <v>7.4615384615384617</v>
      </c>
    </row>
    <row r="168" spans="1:18" x14ac:dyDescent="0.25">
      <c r="A168" s="75">
        <v>14501163</v>
      </c>
      <c r="B168" s="98" t="s">
        <v>228</v>
      </c>
      <c r="C168" s="68" t="s">
        <v>249</v>
      </c>
      <c r="D168" s="77">
        <v>8</v>
      </c>
      <c r="E168" s="77">
        <v>7</v>
      </c>
      <c r="F168" s="77">
        <v>8</v>
      </c>
      <c r="G168" s="77">
        <v>8</v>
      </c>
      <c r="H168" s="77">
        <v>6</v>
      </c>
      <c r="I168" s="77">
        <v>7</v>
      </c>
      <c r="J168" s="77">
        <v>7</v>
      </c>
      <c r="K168" s="77">
        <v>8</v>
      </c>
      <c r="L168" s="77">
        <v>7</v>
      </c>
      <c r="M168" s="77">
        <v>8</v>
      </c>
      <c r="N168" s="77">
        <v>7</v>
      </c>
      <c r="O168" s="77">
        <v>7</v>
      </c>
      <c r="P168" s="140">
        <v>7</v>
      </c>
      <c r="Q168" s="74">
        <f t="shared" si="4"/>
        <v>95</v>
      </c>
      <c r="R168" s="102">
        <f t="shared" si="5"/>
        <v>7.3076923076923075</v>
      </c>
    </row>
    <row r="169" spans="1:18" x14ac:dyDescent="0.25">
      <c r="A169" s="75">
        <v>14501164</v>
      </c>
      <c r="B169" s="98" t="s">
        <v>229</v>
      </c>
      <c r="C169" s="68" t="s">
        <v>249</v>
      </c>
      <c r="D169" s="77">
        <v>8</v>
      </c>
      <c r="E169" s="77">
        <v>8</v>
      </c>
      <c r="F169" s="77">
        <v>8</v>
      </c>
      <c r="G169" s="77">
        <v>8</v>
      </c>
      <c r="H169" s="77">
        <v>7</v>
      </c>
      <c r="I169" s="77">
        <v>8</v>
      </c>
      <c r="J169" s="77">
        <v>8</v>
      </c>
      <c r="K169" s="77">
        <v>8</v>
      </c>
      <c r="L169" s="77">
        <v>7</v>
      </c>
      <c r="M169" s="77">
        <v>7</v>
      </c>
      <c r="N169" s="77">
        <v>8</v>
      </c>
      <c r="O169" s="77">
        <v>8</v>
      </c>
      <c r="P169" s="140">
        <v>8</v>
      </c>
      <c r="Q169" s="74">
        <f t="shared" si="4"/>
        <v>101</v>
      </c>
      <c r="R169" s="102">
        <f t="shared" si="5"/>
        <v>7.7692307692307692</v>
      </c>
    </row>
    <row r="170" spans="1:18" x14ac:dyDescent="0.25">
      <c r="A170" s="75">
        <v>14501165</v>
      </c>
      <c r="B170" s="98" t="s">
        <v>230</v>
      </c>
      <c r="C170" s="68" t="s">
        <v>249</v>
      </c>
      <c r="D170" s="77">
        <v>7</v>
      </c>
      <c r="E170" s="77">
        <v>8</v>
      </c>
      <c r="F170" s="77">
        <v>8</v>
      </c>
      <c r="G170" s="77">
        <v>7</v>
      </c>
      <c r="H170" s="77">
        <v>7</v>
      </c>
      <c r="I170" s="77">
        <v>8</v>
      </c>
      <c r="J170" s="77">
        <v>8</v>
      </c>
      <c r="K170" s="77">
        <v>8</v>
      </c>
      <c r="L170" s="77">
        <v>8</v>
      </c>
      <c r="M170" s="77">
        <v>7</v>
      </c>
      <c r="N170" s="77">
        <v>7</v>
      </c>
      <c r="O170" s="77">
        <v>8</v>
      </c>
      <c r="P170" s="140">
        <v>7</v>
      </c>
      <c r="Q170" s="74">
        <f t="shared" si="4"/>
        <v>98</v>
      </c>
      <c r="R170" s="102">
        <f t="shared" si="5"/>
        <v>7.5384615384615383</v>
      </c>
    </row>
    <row r="171" spans="1:18" x14ac:dyDescent="0.25">
      <c r="A171" s="75">
        <v>14501166</v>
      </c>
      <c r="B171" s="98" t="s">
        <v>231</v>
      </c>
      <c r="C171" s="68" t="s">
        <v>249</v>
      </c>
      <c r="D171" s="77">
        <v>8</v>
      </c>
      <c r="E171" s="77">
        <v>7</v>
      </c>
      <c r="F171" s="77">
        <v>7</v>
      </c>
      <c r="G171" s="77">
        <v>8</v>
      </c>
      <c r="H171" s="77">
        <v>8</v>
      </c>
      <c r="I171" s="77">
        <v>6</v>
      </c>
      <c r="J171" s="77">
        <v>8</v>
      </c>
      <c r="K171" s="77">
        <v>8</v>
      </c>
      <c r="L171" s="77">
        <v>8</v>
      </c>
      <c r="M171" s="77">
        <v>8</v>
      </c>
      <c r="N171" s="77">
        <v>8</v>
      </c>
      <c r="O171" s="77">
        <v>7</v>
      </c>
      <c r="P171" s="140">
        <v>8</v>
      </c>
      <c r="Q171" s="74">
        <f t="shared" si="4"/>
        <v>99</v>
      </c>
      <c r="R171" s="102">
        <f t="shared" si="5"/>
        <v>7.615384615384615</v>
      </c>
    </row>
    <row r="172" spans="1:18" x14ac:dyDescent="0.25">
      <c r="A172" s="75">
        <v>14501167</v>
      </c>
      <c r="B172" s="98" t="s">
        <v>232</v>
      </c>
      <c r="C172" s="68" t="s">
        <v>249</v>
      </c>
      <c r="D172" s="77">
        <v>7</v>
      </c>
      <c r="E172" s="77">
        <v>6</v>
      </c>
      <c r="F172" s="77">
        <v>7</v>
      </c>
      <c r="G172" s="77">
        <v>7</v>
      </c>
      <c r="H172" s="77">
        <v>8</v>
      </c>
      <c r="I172" s="77">
        <v>8</v>
      </c>
      <c r="J172" s="77">
        <v>8</v>
      </c>
      <c r="K172" s="77">
        <v>8</v>
      </c>
      <c r="L172" s="77">
        <v>7</v>
      </c>
      <c r="M172" s="77">
        <v>7</v>
      </c>
      <c r="N172" s="77">
        <v>6</v>
      </c>
      <c r="O172" s="77">
        <v>7</v>
      </c>
      <c r="P172" s="140">
        <v>7</v>
      </c>
      <c r="Q172" s="74">
        <f t="shared" si="4"/>
        <v>93</v>
      </c>
      <c r="R172" s="102">
        <f t="shared" si="5"/>
        <v>7.1538461538461542</v>
      </c>
    </row>
    <row r="173" spans="1:18" x14ac:dyDescent="0.25">
      <c r="A173" s="75">
        <v>14501168</v>
      </c>
      <c r="B173" s="98" t="s">
        <v>233</v>
      </c>
      <c r="C173" s="68" t="s">
        <v>249</v>
      </c>
      <c r="D173" s="77">
        <v>8</v>
      </c>
      <c r="E173" s="77">
        <v>7</v>
      </c>
      <c r="F173" s="77">
        <v>8</v>
      </c>
      <c r="G173" s="77">
        <v>7</v>
      </c>
      <c r="H173" s="77">
        <v>8</v>
      </c>
      <c r="I173" s="77">
        <v>7</v>
      </c>
      <c r="J173" s="77">
        <v>8</v>
      </c>
      <c r="K173" s="77">
        <v>8</v>
      </c>
      <c r="L173" s="77">
        <v>8</v>
      </c>
      <c r="M173" s="77">
        <v>7</v>
      </c>
      <c r="N173" s="77">
        <v>8</v>
      </c>
      <c r="O173" s="77">
        <v>8</v>
      </c>
      <c r="P173" s="140">
        <v>7</v>
      </c>
      <c r="Q173" s="74">
        <f t="shared" si="4"/>
        <v>99</v>
      </c>
      <c r="R173" s="102">
        <f t="shared" si="5"/>
        <v>7.615384615384615</v>
      </c>
    </row>
    <row r="174" spans="1:18" x14ac:dyDescent="0.25">
      <c r="A174" s="75">
        <v>14501169</v>
      </c>
      <c r="B174" s="98" t="s">
        <v>234</v>
      </c>
      <c r="C174" s="68" t="s">
        <v>249</v>
      </c>
      <c r="D174" s="77">
        <v>7</v>
      </c>
      <c r="E174" s="77">
        <v>7</v>
      </c>
      <c r="F174" s="77">
        <v>8</v>
      </c>
      <c r="G174" s="77">
        <v>8</v>
      </c>
      <c r="H174" s="77">
        <v>7</v>
      </c>
      <c r="I174" s="77">
        <v>7</v>
      </c>
      <c r="J174" s="77">
        <v>7</v>
      </c>
      <c r="K174" s="77">
        <v>8</v>
      </c>
      <c r="L174" s="77">
        <v>8</v>
      </c>
      <c r="M174" s="77">
        <v>7</v>
      </c>
      <c r="N174" s="77">
        <v>8</v>
      </c>
      <c r="O174" s="77">
        <v>8</v>
      </c>
      <c r="P174" s="140">
        <v>7</v>
      </c>
      <c r="Q174" s="74">
        <f t="shared" si="4"/>
        <v>97</v>
      </c>
      <c r="R174" s="102">
        <f t="shared" si="5"/>
        <v>7.4615384615384617</v>
      </c>
    </row>
    <row r="175" spans="1:18" x14ac:dyDescent="0.25">
      <c r="A175" s="75">
        <v>14501170</v>
      </c>
      <c r="B175" s="98" t="s">
        <v>235</v>
      </c>
      <c r="C175" s="68" t="s">
        <v>249</v>
      </c>
      <c r="D175" s="76">
        <v>8</v>
      </c>
      <c r="E175" s="76">
        <v>8</v>
      </c>
      <c r="F175" s="77">
        <v>8</v>
      </c>
      <c r="G175" s="77">
        <v>7</v>
      </c>
      <c r="H175" s="77">
        <v>7</v>
      </c>
      <c r="I175" s="77">
        <v>7</v>
      </c>
      <c r="J175" s="77">
        <v>7</v>
      </c>
      <c r="K175" s="78">
        <v>6</v>
      </c>
      <c r="L175" s="77">
        <v>8</v>
      </c>
      <c r="M175" s="77">
        <v>8</v>
      </c>
      <c r="N175" s="77">
        <v>8</v>
      </c>
      <c r="O175" s="77">
        <v>7</v>
      </c>
      <c r="P175" s="140">
        <v>7</v>
      </c>
      <c r="Q175" s="74">
        <f t="shared" si="4"/>
        <v>96</v>
      </c>
      <c r="R175" s="102">
        <f t="shared" si="5"/>
        <v>7.384615384615385</v>
      </c>
    </row>
    <row r="176" spans="1:18" x14ac:dyDescent="0.25">
      <c r="A176" s="75">
        <v>14501171</v>
      </c>
      <c r="B176" s="98" t="s">
        <v>236</v>
      </c>
      <c r="C176" s="68" t="s">
        <v>249</v>
      </c>
      <c r="D176" s="77">
        <v>8</v>
      </c>
      <c r="E176" s="77">
        <v>7</v>
      </c>
      <c r="F176" s="77">
        <v>8</v>
      </c>
      <c r="G176" s="77">
        <v>7</v>
      </c>
      <c r="H176" s="77">
        <v>8</v>
      </c>
      <c r="I176" s="77">
        <v>7</v>
      </c>
      <c r="J176" s="77">
        <v>8</v>
      </c>
      <c r="K176" s="77">
        <v>7</v>
      </c>
      <c r="L176" s="77">
        <v>7</v>
      </c>
      <c r="M176" s="77">
        <v>7</v>
      </c>
      <c r="N176" s="77">
        <v>7</v>
      </c>
      <c r="O176" s="77">
        <v>8</v>
      </c>
      <c r="P176" s="140">
        <v>8</v>
      </c>
      <c r="Q176" s="74">
        <f t="shared" si="4"/>
        <v>97</v>
      </c>
      <c r="R176" s="102">
        <f t="shared" si="5"/>
        <v>7.4615384615384617</v>
      </c>
    </row>
    <row r="177" spans="1:19" x14ac:dyDescent="0.25">
      <c r="A177" s="75">
        <v>14501172</v>
      </c>
      <c r="B177" s="98" t="s">
        <v>237</v>
      </c>
      <c r="C177" s="68" t="s">
        <v>249</v>
      </c>
      <c r="D177" s="77">
        <v>8</v>
      </c>
      <c r="E177" s="77">
        <v>8</v>
      </c>
      <c r="F177" s="77">
        <v>7</v>
      </c>
      <c r="G177" s="77">
        <v>8</v>
      </c>
      <c r="H177" s="77">
        <v>7</v>
      </c>
      <c r="I177" s="77">
        <v>7</v>
      </c>
      <c r="J177" s="77">
        <v>7</v>
      </c>
      <c r="K177" s="77">
        <v>8</v>
      </c>
      <c r="L177" s="77">
        <v>7</v>
      </c>
      <c r="M177" s="77">
        <v>7</v>
      </c>
      <c r="N177" s="77">
        <v>7</v>
      </c>
      <c r="O177" s="77">
        <v>8</v>
      </c>
      <c r="P177" s="140">
        <v>8</v>
      </c>
      <c r="Q177" s="74">
        <f t="shared" si="4"/>
        <v>97</v>
      </c>
      <c r="R177" s="102">
        <f t="shared" si="5"/>
        <v>7.4615384615384617</v>
      </c>
    </row>
    <row r="178" spans="1:19" x14ac:dyDescent="0.25">
      <c r="A178" s="75">
        <v>14501173</v>
      </c>
      <c r="B178" s="98" t="s">
        <v>238</v>
      </c>
      <c r="C178" s="68" t="s">
        <v>249</v>
      </c>
      <c r="D178" s="77">
        <v>8</v>
      </c>
      <c r="E178" s="77">
        <v>7</v>
      </c>
      <c r="F178" s="77">
        <v>8</v>
      </c>
      <c r="G178" s="77">
        <v>8</v>
      </c>
      <c r="H178" s="77">
        <v>6</v>
      </c>
      <c r="I178" s="77">
        <v>6</v>
      </c>
      <c r="J178" s="77">
        <v>7</v>
      </c>
      <c r="K178" s="77">
        <v>8</v>
      </c>
      <c r="L178" s="77">
        <v>8</v>
      </c>
      <c r="M178" s="77">
        <v>7</v>
      </c>
      <c r="N178" s="77">
        <v>8</v>
      </c>
      <c r="O178" s="77">
        <v>7</v>
      </c>
      <c r="P178" s="140">
        <v>7</v>
      </c>
      <c r="Q178" s="74">
        <f t="shared" si="4"/>
        <v>95</v>
      </c>
      <c r="R178" s="102">
        <f t="shared" si="5"/>
        <v>7.3076923076923075</v>
      </c>
    </row>
    <row r="179" spans="1:19" x14ac:dyDescent="0.25">
      <c r="A179" s="75">
        <v>14501174</v>
      </c>
      <c r="B179" s="98" t="s">
        <v>239</v>
      </c>
      <c r="C179" s="68" t="s">
        <v>249</v>
      </c>
      <c r="D179" s="77">
        <v>7</v>
      </c>
      <c r="E179" s="77">
        <v>7</v>
      </c>
      <c r="F179" s="77">
        <v>8</v>
      </c>
      <c r="G179" s="77">
        <v>8</v>
      </c>
      <c r="H179" s="77">
        <v>7</v>
      </c>
      <c r="I179" s="77">
        <v>8</v>
      </c>
      <c r="J179" s="77">
        <v>8</v>
      </c>
      <c r="K179" s="77">
        <v>8</v>
      </c>
      <c r="L179" s="77">
        <v>8</v>
      </c>
      <c r="M179" s="77">
        <v>8</v>
      </c>
      <c r="N179" s="77">
        <v>8</v>
      </c>
      <c r="O179" s="77">
        <v>8</v>
      </c>
      <c r="P179" s="140">
        <v>8</v>
      </c>
      <c r="Q179" s="74">
        <f t="shared" si="4"/>
        <v>101</v>
      </c>
      <c r="R179" s="102">
        <f t="shared" si="5"/>
        <v>7.7692307692307692</v>
      </c>
    </row>
    <row r="180" spans="1:19" x14ac:dyDescent="0.25">
      <c r="A180" s="75">
        <v>14501175</v>
      </c>
      <c r="B180" s="98" t="s">
        <v>240</v>
      </c>
      <c r="C180" s="68" t="s">
        <v>249</v>
      </c>
      <c r="D180" s="77">
        <v>7</v>
      </c>
      <c r="E180" s="77">
        <v>8</v>
      </c>
      <c r="F180" s="77">
        <v>7</v>
      </c>
      <c r="G180" s="77">
        <v>8</v>
      </c>
      <c r="H180" s="77">
        <v>7</v>
      </c>
      <c r="I180" s="77">
        <v>6</v>
      </c>
      <c r="J180" s="77">
        <v>8</v>
      </c>
      <c r="K180" s="77">
        <v>7</v>
      </c>
      <c r="L180" s="77">
        <v>7</v>
      </c>
      <c r="M180" s="77">
        <v>8</v>
      </c>
      <c r="N180" s="77">
        <v>7</v>
      </c>
      <c r="O180" s="77">
        <v>8</v>
      </c>
      <c r="P180" s="140">
        <v>7</v>
      </c>
      <c r="Q180" s="74">
        <f t="shared" si="4"/>
        <v>95</v>
      </c>
      <c r="R180" s="102">
        <f t="shared" si="5"/>
        <v>7.3076923076923075</v>
      </c>
    </row>
    <row r="181" spans="1:19" x14ac:dyDescent="0.25">
      <c r="A181" s="75">
        <v>14501176</v>
      </c>
      <c r="B181" s="98" t="s">
        <v>241</v>
      </c>
      <c r="C181" s="68" t="s">
        <v>249</v>
      </c>
      <c r="D181" s="77">
        <v>8</v>
      </c>
      <c r="E181" s="77">
        <v>8</v>
      </c>
      <c r="F181" s="77">
        <v>7</v>
      </c>
      <c r="G181" s="77">
        <v>7</v>
      </c>
      <c r="H181" s="77">
        <v>7</v>
      </c>
      <c r="I181" s="77">
        <v>8</v>
      </c>
      <c r="J181" s="77">
        <v>8</v>
      </c>
      <c r="K181" s="77">
        <v>8</v>
      </c>
      <c r="L181" s="77">
        <v>8</v>
      </c>
      <c r="M181" s="77">
        <v>7</v>
      </c>
      <c r="N181" s="77">
        <v>7</v>
      </c>
      <c r="O181" s="77">
        <v>7</v>
      </c>
      <c r="P181" s="140">
        <v>7</v>
      </c>
      <c r="Q181" s="74">
        <f t="shared" si="4"/>
        <v>97</v>
      </c>
      <c r="R181" s="102">
        <f t="shared" si="5"/>
        <v>7.4615384615384617</v>
      </c>
    </row>
    <row r="182" spans="1:19" x14ac:dyDescent="0.25">
      <c r="A182" s="75">
        <v>14501177</v>
      </c>
      <c r="B182" s="98" t="s">
        <v>242</v>
      </c>
      <c r="C182" s="68" t="s">
        <v>249</v>
      </c>
      <c r="D182" s="77">
        <v>7</v>
      </c>
      <c r="E182" s="77">
        <v>7</v>
      </c>
      <c r="F182" s="77">
        <v>7</v>
      </c>
      <c r="G182" s="77">
        <v>6</v>
      </c>
      <c r="H182" s="77">
        <v>7</v>
      </c>
      <c r="I182" s="77">
        <v>6</v>
      </c>
      <c r="J182" s="77">
        <v>8</v>
      </c>
      <c r="K182" s="77">
        <v>7</v>
      </c>
      <c r="L182" s="77">
        <v>8</v>
      </c>
      <c r="M182" s="77">
        <v>7</v>
      </c>
      <c r="N182" s="77">
        <v>6</v>
      </c>
      <c r="O182" s="77">
        <v>7</v>
      </c>
      <c r="P182" s="140">
        <v>7</v>
      </c>
      <c r="Q182" s="74">
        <f t="shared" si="4"/>
        <v>90</v>
      </c>
      <c r="R182" s="102">
        <f t="shared" si="5"/>
        <v>6.9230769230769234</v>
      </c>
    </row>
    <row r="183" spans="1:19" x14ac:dyDescent="0.25">
      <c r="A183" s="75">
        <v>14501178</v>
      </c>
      <c r="B183" s="98" t="s">
        <v>243</v>
      </c>
      <c r="C183" s="68" t="s">
        <v>249</v>
      </c>
      <c r="D183" s="77">
        <v>8</v>
      </c>
      <c r="E183" s="77">
        <v>7</v>
      </c>
      <c r="F183" s="77">
        <v>8</v>
      </c>
      <c r="G183" s="77">
        <v>7</v>
      </c>
      <c r="H183" s="77">
        <v>7</v>
      </c>
      <c r="I183" s="77">
        <v>7</v>
      </c>
      <c r="J183" s="77">
        <v>8</v>
      </c>
      <c r="K183" s="77">
        <v>8</v>
      </c>
      <c r="L183" s="77">
        <v>8</v>
      </c>
      <c r="M183" s="77">
        <v>8</v>
      </c>
      <c r="N183" s="77">
        <v>8</v>
      </c>
      <c r="O183" s="77">
        <v>8</v>
      </c>
      <c r="P183" s="140">
        <v>7</v>
      </c>
      <c r="Q183" s="74">
        <f t="shared" si="4"/>
        <v>99</v>
      </c>
      <c r="R183" s="102">
        <f t="shared" si="5"/>
        <v>7.615384615384615</v>
      </c>
    </row>
    <row r="184" spans="1:19" x14ac:dyDescent="0.25">
      <c r="A184" s="75">
        <v>14501179</v>
      </c>
      <c r="B184" s="98" t="s">
        <v>244</v>
      </c>
      <c r="C184" s="68" t="s">
        <v>249</v>
      </c>
      <c r="D184" s="77">
        <v>7</v>
      </c>
      <c r="E184" s="77">
        <v>7</v>
      </c>
      <c r="F184" s="77">
        <v>8</v>
      </c>
      <c r="G184" s="77">
        <v>8</v>
      </c>
      <c r="H184" s="77">
        <v>7</v>
      </c>
      <c r="I184" s="77">
        <v>7</v>
      </c>
      <c r="J184" s="77">
        <v>7</v>
      </c>
      <c r="K184" s="77">
        <v>8</v>
      </c>
      <c r="L184" s="77">
        <v>8</v>
      </c>
      <c r="M184" s="77">
        <v>8</v>
      </c>
      <c r="N184" s="77">
        <v>8</v>
      </c>
      <c r="O184" s="77">
        <v>8</v>
      </c>
      <c r="P184" s="140">
        <v>7</v>
      </c>
      <c r="Q184" s="74">
        <f t="shared" si="4"/>
        <v>98</v>
      </c>
      <c r="R184" s="102">
        <f t="shared" si="5"/>
        <v>7.5384615384615383</v>
      </c>
    </row>
    <row r="185" spans="1:19" x14ac:dyDescent="0.25">
      <c r="A185" s="75">
        <v>14501180</v>
      </c>
      <c r="B185" s="98" t="s">
        <v>245</v>
      </c>
      <c r="C185" s="68" t="s">
        <v>249</v>
      </c>
      <c r="D185" s="77">
        <v>7</v>
      </c>
      <c r="E185" s="77">
        <v>8</v>
      </c>
      <c r="F185" s="77">
        <v>8</v>
      </c>
      <c r="G185" s="77">
        <v>8</v>
      </c>
      <c r="H185" s="77">
        <v>6</v>
      </c>
      <c r="I185" s="77">
        <v>6</v>
      </c>
      <c r="J185" s="77">
        <v>7</v>
      </c>
      <c r="K185" s="77">
        <v>8</v>
      </c>
      <c r="L185" s="77">
        <v>7</v>
      </c>
      <c r="M185" s="77">
        <v>8</v>
      </c>
      <c r="N185" s="77">
        <v>7</v>
      </c>
      <c r="O185" s="77">
        <v>7</v>
      </c>
      <c r="P185" s="140">
        <v>7</v>
      </c>
      <c r="Q185" s="74">
        <f t="shared" si="4"/>
        <v>94</v>
      </c>
      <c r="R185" s="102">
        <f t="shared" si="5"/>
        <v>7.2307692307692308</v>
      </c>
    </row>
    <row r="186" spans="1:19" x14ac:dyDescent="0.25">
      <c r="A186" s="75">
        <v>14501181</v>
      </c>
      <c r="B186" s="98" t="s">
        <v>246</v>
      </c>
      <c r="C186" s="68" t="s">
        <v>249</v>
      </c>
      <c r="D186" s="77">
        <v>8</v>
      </c>
      <c r="E186" s="77">
        <v>8</v>
      </c>
      <c r="F186" s="77">
        <v>7</v>
      </c>
      <c r="G186" s="77">
        <v>8</v>
      </c>
      <c r="H186" s="77">
        <v>6</v>
      </c>
      <c r="I186" s="77">
        <v>8</v>
      </c>
      <c r="J186" s="77">
        <v>7</v>
      </c>
      <c r="K186" s="77">
        <v>7</v>
      </c>
      <c r="L186" s="77">
        <v>7</v>
      </c>
      <c r="M186" s="77">
        <v>8</v>
      </c>
      <c r="N186" s="77">
        <v>8</v>
      </c>
      <c r="O186" s="77">
        <v>7</v>
      </c>
      <c r="P186" s="140">
        <v>8</v>
      </c>
      <c r="Q186" s="74">
        <f t="shared" si="4"/>
        <v>97</v>
      </c>
      <c r="R186" s="102">
        <f t="shared" si="5"/>
        <v>7.4615384615384617</v>
      </c>
    </row>
    <row r="187" spans="1:19" x14ac:dyDescent="0.25">
      <c r="A187" s="75">
        <v>14501182</v>
      </c>
      <c r="B187" s="98" t="s">
        <v>247</v>
      </c>
      <c r="C187" s="68" t="s">
        <v>249</v>
      </c>
      <c r="D187" s="77">
        <v>7</v>
      </c>
      <c r="E187" s="77">
        <v>8</v>
      </c>
      <c r="F187" s="77">
        <v>7</v>
      </c>
      <c r="G187" s="77">
        <v>7</v>
      </c>
      <c r="H187" s="77">
        <v>8</v>
      </c>
      <c r="I187" s="77">
        <v>7</v>
      </c>
      <c r="J187" s="77">
        <v>8</v>
      </c>
      <c r="K187" s="77">
        <v>7</v>
      </c>
      <c r="L187" s="77">
        <v>7</v>
      </c>
      <c r="M187" s="77">
        <v>8</v>
      </c>
      <c r="N187" s="77">
        <v>8</v>
      </c>
      <c r="O187" s="77">
        <v>8</v>
      </c>
      <c r="P187" s="140">
        <v>7</v>
      </c>
      <c r="Q187" s="74">
        <f t="shared" si="4"/>
        <v>97</v>
      </c>
      <c r="R187" s="102">
        <f t="shared" si="5"/>
        <v>7.4615384615384617</v>
      </c>
    </row>
    <row r="188" spans="1:19" x14ac:dyDescent="0.25">
      <c r="A188" s="75">
        <v>14501183</v>
      </c>
      <c r="B188" s="98" t="s">
        <v>248</v>
      </c>
      <c r="C188" s="68" t="s">
        <v>249</v>
      </c>
      <c r="D188" s="77">
        <v>8</v>
      </c>
      <c r="E188" s="77">
        <v>8</v>
      </c>
      <c r="F188" s="77">
        <v>7</v>
      </c>
      <c r="G188" s="77">
        <v>6</v>
      </c>
      <c r="H188" s="77">
        <v>6</v>
      </c>
      <c r="I188" s="77">
        <v>6</v>
      </c>
      <c r="J188" s="77">
        <v>7</v>
      </c>
      <c r="K188" s="77">
        <v>8</v>
      </c>
      <c r="L188" s="77">
        <v>7</v>
      </c>
      <c r="M188" s="77">
        <v>7</v>
      </c>
      <c r="N188" s="77">
        <v>6</v>
      </c>
      <c r="O188" s="77">
        <v>7</v>
      </c>
      <c r="P188" s="140">
        <v>7</v>
      </c>
      <c r="Q188" s="74">
        <f t="shared" si="4"/>
        <v>90</v>
      </c>
      <c r="R188" s="102">
        <f t="shared" si="5"/>
        <v>6.9230769230769234</v>
      </c>
    </row>
    <row r="189" spans="1:19" x14ac:dyDescent="0.25">
      <c r="A189" s="108"/>
      <c r="B189" s="109"/>
      <c r="C189" s="12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10"/>
      <c r="R189" s="111"/>
      <c r="S189" s="12"/>
    </row>
    <row r="190" spans="1:19" x14ac:dyDescent="0.25">
      <c r="A190" s="108"/>
      <c r="B190" s="109"/>
      <c r="C190" s="12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10"/>
      <c r="R190" s="111"/>
      <c r="S190" s="12"/>
    </row>
    <row r="191" spans="1:19" x14ac:dyDescent="0.25">
      <c r="A191" s="108"/>
      <c r="B191" s="109"/>
      <c r="C191" s="12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10"/>
      <c r="R191" s="111"/>
      <c r="S191" s="12"/>
    </row>
    <row r="192" spans="1:19" x14ac:dyDescent="0.25">
      <c r="A192" s="108"/>
      <c r="B192" s="109"/>
      <c r="C192" s="12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10"/>
      <c r="R192" s="111"/>
      <c r="S192" s="12"/>
    </row>
    <row r="193" spans="1:19" x14ac:dyDescent="0.25">
      <c r="A193" s="108"/>
      <c r="B193" s="109"/>
      <c r="C193" s="12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10"/>
      <c r="R193" s="111"/>
      <c r="S193" s="12"/>
    </row>
    <row r="194" spans="1:19" x14ac:dyDescent="0.25">
      <c r="A194" s="108"/>
      <c r="B194" s="109"/>
      <c r="C194" s="12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10"/>
      <c r="R194" s="111"/>
      <c r="S194" s="12"/>
    </row>
    <row r="195" spans="1:19" x14ac:dyDescent="0.25">
      <c r="A195" s="108"/>
      <c r="B195" s="109"/>
      <c r="C195" s="12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10"/>
      <c r="R195" s="111"/>
      <c r="S195" s="12"/>
    </row>
    <row r="196" spans="1:19" x14ac:dyDescent="0.25">
      <c r="A196" s="108"/>
      <c r="B196" s="109"/>
      <c r="C196" s="12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10"/>
      <c r="R196" s="111"/>
      <c r="S196" s="12"/>
    </row>
    <row r="197" spans="1:19" x14ac:dyDescent="0.25">
      <c r="A197" s="108"/>
      <c r="B197" s="109"/>
      <c r="C197" s="12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10"/>
      <c r="R197" s="111"/>
      <c r="S197" s="12"/>
    </row>
    <row r="198" spans="1:19" x14ac:dyDescent="0.25">
      <c r="A198" s="108"/>
      <c r="B198" s="109"/>
      <c r="C198" s="12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10"/>
      <c r="R198" s="111"/>
      <c r="S198" s="12"/>
    </row>
    <row r="199" spans="1:19" x14ac:dyDescent="0.25">
      <c r="A199" s="108"/>
      <c r="B199" s="109"/>
      <c r="C199" s="12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10"/>
      <c r="R199" s="111"/>
      <c r="S199" s="12"/>
    </row>
    <row r="200" spans="1:19" x14ac:dyDescent="0.25">
      <c r="A200" s="108"/>
      <c r="B200" s="109"/>
      <c r="C200" s="12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10"/>
      <c r="R200" s="111"/>
      <c r="S200" s="12"/>
    </row>
    <row r="201" spans="1:19" x14ac:dyDescent="0.25">
      <c r="A201" s="108"/>
      <c r="B201" s="109"/>
      <c r="C201" s="12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10"/>
      <c r="R201" s="111"/>
      <c r="S201" s="12"/>
    </row>
    <row r="202" spans="1:19" x14ac:dyDescent="0.25">
      <c r="A202" s="108"/>
      <c r="B202" s="109"/>
      <c r="C202" s="12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10"/>
      <c r="R202" s="111"/>
      <c r="S202" s="12"/>
    </row>
    <row r="203" spans="1:19" x14ac:dyDescent="0.25">
      <c r="A203" s="108"/>
      <c r="B203" s="109"/>
      <c r="C203" s="12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10"/>
      <c r="R203" s="111"/>
      <c r="S203" s="12"/>
    </row>
    <row r="204" spans="1:19" x14ac:dyDescent="0.25">
      <c r="A204" s="108"/>
      <c r="B204" s="109"/>
      <c r="C204" s="12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10"/>
      <c r="R204" s="111"/>
      <c r="S204" s="12"/>
    </row>
    <row r="205" spans="1:19" x14ac:dyDescent="0.25">
      <c r="A205" s="108"/>
      <c r="B205" s="109"/>
      <c r="C205" s="12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10"/>
      <c r="R205" s="111"/>
      <c r="S205" s="12"/>
    </row>
    <row r="206" spans="1:19" x14ac:dyDescent="0.25">
      <c r="A206" s="108"/>
      <c r="B206" s="109"/>
      <c r="C206" s="12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10"/>
      <c r="R206" s="111"/>
      <c r="S206" s="12"/>
    </row>
    <row r="207" spans="1:19" x14ac:dyDescent="0.25">
      <c r="A207" s="108"/>
      <c r="B207" s="109"/>
      <c r="C207" s="12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10"/>
      <c r="R207" s="111"/>
      <c r="S207" s="12"/>
    </row>
    <row r="208" spans="1:19" x14ac:dyDescent="0.25">
      <c r="A208" s="108"/>
      <c r="B208" s="109"/>
      <c r="C208" s="12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10"/>
      <c r="R208" s="111"/>
      <c r="S208" s="12"/>
    </row>
    <row r="209" spans="1:19" x14ac:dyDescent="0.25">
      <c r="A209" s="108"/>
      <c r="B209" s="109"/>
      <c r="C209" s="12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10"/>
      <c r="R209" s="111"/>
      <c r="S209" s="12"/>
    </row>
    <row r="210" spans="1:19" x14ac:dyDescent="0.25">
      <c r="A210" s="108"/>
      <c r="B210" s="109"/>
      <c r="C210" s="12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10"/>
      <c r="R210" s="111"/>
      <c r="S210" s="12"/>
    </row>
    <row r="211" spans="1:19" x14ac:dyDescent="0.25">
      <c r="A211" s="108"/>
      <c r="B211" s="109"/>
      <c r="C211" s="12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10"/>
      <c r="R211" s="111"/>
      <c r="S211" s="12"/>
    </row>
    <row r="212" spans="1:19" x14ac:dyDescent="0.25">
      <c r="A212" s="108"/>
      <c r="B212" s="109"/>
      <c r="C212" s="12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10"/>
      <c r="R212" s="111"/>
      <c r="S212" s="12"/>
    </row>
    <row r="213" spans="1:19" x14ac:dyDescent="0.25">
      <c r="A213" s="108"/>
      <c r="B213" s="109"/>
      <c r="C213" s="12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10"/>
      <c r="R213" s="111"/>
      <c r="S213" s="12"/>
    </row>
    <row r="214" spans="1:19" x14ac:dyDescent="0.25">
      <c r="A214" s="108"/>
      <c r="B214" s="109"/>
      <c r="C214" s="12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10"/>
      <c r="R214" s="111"/>
      <c r="S214" s="12"/>
    </row>
    <row r="215" spans="1:19" x14ac:dyDescent="0.25">
      <c r="A215" s="108"/>
      <c r="B215" s="109"/>
      <c r="C215" s="12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1"/>
      <c r="S215" s="12"/>
    </row>
    <row r="216" spans="1:19" x14ac:dyDescent="0.25">
      <c r="A216" s="108"/>
      <c r="B216" s="109"/>
      <c r="C216" s="12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1"/>
      <c r="S216" s="12"/>
    </row>
    <row r="217" spans="1:19" x14ac:dyDescent="0.25">
      <c r="A217" s="108"/>
      <c r="B217" s="109"/>
      <c r="C217" s="12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1"/>
      <c r="S217" s="12"/>
    </row>
    <row r="218" spans="1:19" x14ac:dyDescent="0.25">
      <c r="A218" s="108"/>
      <c r="B218" s="109"/>
      <c r="C218" s="12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1"/>
      <c r="S218" s="12"/>
    </row>
    <row r="219" spans="1:19" x14ac:dyDescent="0.25">
      <c r="A219" s="108"/>
      <c r="B219" s="109"/>
      <c r="C219" s="12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1"/>
      <c r="S219" s="12"/>
    </row>
    <row r="220" spans="1:19" x14ac:dyDescent="0.25">
      <c r="A220" s="108"/>
      <c r="B220" s="109"/>
      <c r="C220" s="12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1"/>
      <c r="S220" s="12"/>
    </row>
    <row r="221" spans="1:19" x14ac:dyDescent="0.25">
      <c r="A221" s="108"/>
      <c r="B221" s="109"/>
      <c r="C221" s="12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1"/>
      <c r="S221" s="12"/>
    </row>
    <row r="222" spans="1:19" x14ac:dyDescent="0.25">
      <c r="A222" s="108"/>
      <c r="B222" s="109"/>
      <c r="C222" s="12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1"/>
      <c r="S222" s="12"/>
    </row>
    <row r="223" spans="1:19" x14ac:dyDescent="0.25">
      <c r="A223" s="108"/>
      <c r="B223" s="109"/>
      <c r="C223" s="12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1"/>
      <c r="S223" s="12"/>
    </row>
    <row r="224" spans="1:19" x14ac:dyDescent="0.25">
      <c r="A224" s="108"/>
      <c r="B224" s="109"/>
      <c r="C224" s="12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1"/>
      <c r="S224" s="12"/>
    </row>
    <row r="225" spans="1:19" x14ac:dyDescent="0.25">
      <c r="A225" s="108"/>
      <c r="B225" s="109"/>
      <c r="C225" s="12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1"/>
      <c r="S225" s="12"/>
    </row>
    <row r="226" spans="1:19" x14ac:dyDescent="0.25">
      <c r="A226" s="108"/>
      <c r="B226" s="109"/>
      <c r="C226" s="12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1"/>
      <c r="S226" s="12"/>
    </row>
    <row r="227" spans="1:19" x14ac:dyDescent="0.25">
      <c r="A227" s="108"/>
      <c r="B227" s="109"/>
      <c r="C227" s="12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1"/>
      <c r="S227" s="12"/>
    </row>
    <row r="228" spans="1:19" x14ac:dyDescent="0.25">
      <c r="A228" s="108"/>
      <c r="B228" s="109"/>
      <c r="C228" s="12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1"/>
      <c r="S228" s="12"/>
    </row>
    <row r="229" spans="1:19" x14ac:dyDescent="0.25">
      <c r="A229" s="108"/>
      <c r="B229" s="109"/>
      <c r="C229" s="12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1"/>
      <c r="S229" s="12"/>
    </row>
    <row r="230" spans="1:19" x14ac:dyDescent="0.25">
      <c r="A230" s="108"/>
      <c r="B230" s="109"/>
      <c r="C230" s="12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1"/>
      <c r="S230" s="12"/>
    </row>
    <row r="231" spans="1:19" x14ac:dyDescent="0.25">
      <c r="A231" s="108"/>
      <c r="B231" s="109"/>
      <c r="C231" s="12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1"/>
      <c r="S231" s="12"/>
    </row>
    <row r="232" spans="1:19" x14ac:dyDescent="0.25">
      <c r="A232" s="108"/>
      <c r="B232" s="109"/>
      <c r="C232" s="12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1"/>
      <c r="S232" s="12"/>
    </row>
    <row r="233" spans="1:19" x14ac:dyDescent="0.25">
      <c r="A233" s="108"/>
      <c r="B233" s="109"/>
      <c r="C233" s="12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1"/>
      <c r="S233" s="12"/>
    </row>
    <row r="234" spans="1:19" x14ac:dyDescent="0.25">
      <c r="A234" s="108"/>
      <c r="B234" s="109"/>
      <c r="C234" s="12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1"/>
      <c r="S234" s="12"/>
    </row>
    <row r="235" spans="1:19" x14ac:dyDescent="0.25">
      <c r="A235" s="108"/>
      <c r="B235" s="109"/>
      <c r="C235" s="12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1"/>
      <c r="S235" s="12"/>
    </row>
    <row r="236" spans="1:19" x14ac:dyDescent="0.25">
      <c r="A236" s="108"/>
      <c r="B236" s="109"/>
      <c r="C236" s="12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1"/>
      <c r="S236" s="12"/>
    </row>
    <row r="237" spans="1:19" x14ac:dyDescent="0.25">
      <c r="A237" s="108"/>
      <c r="B237" s="109"/>
      <c r="C237" s="12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1"/>
      <c r="S237" s="12"/>
    </row>
    <row r="238" spans="1:19" x14ac:dyDescent="0.25">
      <c r="A238" s="108"/>
      <c r="B238" s="109"/>
      <c r="C238" s="12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1"/>
      <c r="S238" s="12"/>
    </row>
    <row r="239" spans="1:19" x14ac:dyDescent="0.25">
      <c r="A239" s="108"/>
      <c r="B239" s="109"/>
      <c r="C239" s="12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1"/>
      <c r="S239" s="12"/>
    </row>
    <row r="240" spans="1:19" x14ac:dyDescent="0.25">
      <c r="A240" s="108"/>
      <c r="B240" s="109"/>
      <c r="C240" s="12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1"/>
      <c r="S240" s="12"/>
    </row>
    <row r="241" spans="1:19" x14ac:dyDescent="0.25">
      <c r="A241" s="108"/>
      <c r="B241" s="109"/>
      <c r="C241" s="12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1"/>
      <c r="S241" s="12"/>
    </row>
    <row r="242" spans="1:19" x14ac:dyDescent="0.25">
      <c r="A242" s="108"/>
      <c r="B242" s="109"/>
      <c r="C242" s="12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1"/>
      <c r="S242" s="12"/>
    </row>
    <row r="243" spans="1:19" x14ac:dyDescent="0.25">
      <c r="A243" s="108"/>
      <c r="B243" s="109"/>
      <c r="C243" s="12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1"/>
      <c r="S243" s="12"/>
    </row>
    <row r="244" spans="1:19" x14ac:dyDescent="0.25">
      <c r="A244" s="108"/>
      <c r="B244" s="109"/>
      <c r="C244" s="12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1"/>
      <c r="S244" s="12"/>
    </row>
    <row r="245" spans="1:19" x14ac:dyDescent="0.25">
      <c r="A245" s="108"/>
      <c r="B245" s="109"/>
      <c r="C245" s="12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1"/>
      <c r="S245" s="12"/>
    </row>
    <row r="246" spans="1:19" x14ac:dyDescent="0.25">
      <c r="A246" s="108"/>
      <c r="B246" s="109"/>
      <c r="C246" s="12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1"/>
      <c r="S246" s="12"/>
    </row>
    <row r="247" spans="1:19" x14ac:dyDescent="0.25">
      <c r="A247" s="108"/>
      <c r="B247" s="109"/>
      <c r="C247" s="12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1"/>
      <c r="S247" s="12"/>
    </row>
    <row r="248" spans="1:19" x14ac:dyDescent="0.25">
      <c r="A248" s="108"/>
      <c r="B248" s="109"/>
      <c r="C248" s="12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1"/>
      <c r="S248" s="12"/>
    </row>
    <row r="249" spans="1:19" x14ac:dyDescent="0.25">
      <c r="A249" s="108"/>
      <c r="B249" s="109"/>
      <c r="C249" s="12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1"/>
      <c r="S249" s="12"/>
    </row>
    <row r="250" spans="1:19" x14ac:dyDescent="0.25">
      <c r="A250" s="108"/>
      <c r="B250" s="109"/>
      <c r="C250" s="12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1"/>
      <c r="S250" s="12"/>
    </row>
    <row r="251" spans="1:19" x14ac:dyDescent="0.25">
      <c r="A251" s="108"/>
      <c r="B251" s="109"/>
      <c r="C251" s="12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1"/>
      <c r="S251" s="12"/>
    </row>
    <row r="252" spans="1:19" x14ac:dyDescent="0.25">
      <c r="A252" s="108"/>
      <c r="B252" s="109"/>
      <c r="C252" s="12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1"/>
      <c r="S252" s="12"/>
    </row>
    <row r="253" spans="1:19" x14ac:dyDescent="0.25">
      <c r="A253" s="108"/>
      <c r="B253" s="109"/>
      <c r="C253" s="12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1"/>
      <c r="S253" s="12"/>
    </row>
    <row r="254" spans="1:19" x14ac:dyDescent="0.25">
      <c r="A254" s="108"/>
      <c r="B254" s="109"/>
      <c r="C254" s="12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1"/>
      <c r="S254" s="12"/>
    </row>
    <row r="255" spans="1:19" x14ac:dyDescent="0.25">
      <c r="A255" s="108"/>
      <c r="B255" s="109"/>
      <c r="C255" s="12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1"/>
      <c r="S255" s="12"/>
    </row>
    <row r="256" spans="1:19" x14ac:dyDescent="0.25">
      <c r="A256" s="108"/>
      <c r="B256" s="109"/>
      <c r="C256" s="12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1"/>
      <c r="S256" s="12"/>
    </row>
    <row r="257" spans="1:19" x14ac:dyDescent="0.25">
      <c r="A257" s="108"/>
      <c r="B257" s="109"/>
      <c r="C257" s="12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1"/>
      <c r="S257" s="12"/>
    </row>
    <row r="258" spans="1:19" x14ac:dyDescent="0.25">
      <c r="A258" s="108"/>
      <c r="B258" s="109"/>
      <c r="C258" s="12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1"/>
      <c r="S258" s="12"/>
    </row>
    <row r="259" spans="1:19" x14ac:dyDescent="0.25">
      <c r="A259" s="108"/>
      <c r="B259" s="109"/>
      <c r="C259" s="12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1"/>
      <c r="S259" s="12"/>
    </row>
    <row r="260" spans="1:19" x14ac:dyDescent="0.25">
      <c r="A260" s="108"/>
      <c r="B260" s="109"/>
      <c r="C260" s="12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1"/>
      <c r="S260" s="12"/>
    </row>
    <row r="261" spans="1:19" x14ac:dyDescent="0.25">
      <c r="A261" s="108"/>
      <c r="B261" s="109"/>
      <c r="C261" s="12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1"/>
      <c r="S261" s="12"/>
    </row>
    <row r="262" spans="1:19" x14ac:dyDescent="0.25">
      <c r="A262" s="108"/>
      <c r="B262" s="109"/>
      <c r="C262" s="12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1"/>
      <c r="S262" s="12"/>
    </row>
    <row r="263" spans="1:19" x14ac:dyDescent="0.25">
      <c r="A263" s="108"/>
      <c r="B263" s="109"/>
      <c r="C263" s="12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1"/>
      <c r="S263" s="12"/>
    </row>
    <row r="264" spans="1:19" x14ac:dyDescent="0.25">
      <c r="A264" s="108"/>
      <c r="B264" s="109"/>
      <c r="C264" s="12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1"/>
      <c r="S264" s="12"/>
    </row>
    <row r="265" spans="1:19" x14ac:dyDescent="0.25">
      <c r="A265" s="108"/>
      <c r="B265" s="109"/>
      <c r="C265" s="12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1"/>
      <c r="S265" s="12"/>
    </row>
    <row r="266" spans="1:19" x14ac:dyDescent="0.25">
      <c r="A266" s="108"/>
      <c r="B266" s="109"/>
      <c r="C266" s="12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1"/>
      <c r="S266" s="12"/>
    </row>
    <row r="267" spans="1:19" x14ac:dyDescent="0.25">
      <c r="A267" s="108"/>
      <c r="B267" s="109"/>
      <c r="C267" s="12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1"/>
      <c r="S267" s="12"/>
    </row>
    <row r="268" spans="1:19" x14ac:dyDescent="0.25">
      <c r="A268" s="108"/>
      <c r="B268" s="109"/>
      <c r="C268" s="12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1"/>
      <c r="S268" s="12"/>
    </row>
    <row r="269" spans="1:19" x14ac:dyDescent="0.25">
      <c r="A269" s="108"/>
      <c r="B269" s="109"/>
      <c r="C269" s="12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1"/>
      <c r="S269" s="12"/>
    </row>
    <row r="270" spans="1:19" x14ac:dyDescent="0.25">
      <c r="A270" s="108"/>
      <c r="B270" s="109"/>
      <c r="C270" s="12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1"/>
      <c r="S270" s="12"/>
    </row>
    <row r="271" spans="1:19" x14ac:dyDescent="0.25">
      <c r="A271" s="108"/>
      <c r="B271" s="109"/>
      <c r="C271" s="12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1"/>
      <c r="S271" s="12"/>
    </row>
    <row r="272" spans="1:19" x14ac:dyDescent="0.25">
      <c r="A272" s="108"/>
      <c r="B272" s="109"/>
      <c r="C272" s="12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1"/>
      <c r="S272" s="12"/>
    </row>
    <row r="273" spans="1:19" x14ac:dyDescent="0.25">
      <c r="A273" s="108"/>
      <c r="B273" s="109"/>
      <c r="C273" s="12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1"/>
      <c r="S273" s="12"/>
    </row>
    <row r="274" spans="1:19" x14ac:dyDescent="0.25">
      <c r="A274" s="108"/>
      <c r="B274" s="109"/>
      <c r="C274" s="12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1"/>
      <c r="S274" s="12"/>
    </row>
    <row r="275" spans="1:19" x14ac:dyDescent="0.25">
      <c r="A275" s="108"/>
      <c r="B275" s="109"/>
      <c r="C275" s="12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1"/>
      <c r="S275" s="12"/>
    </row>
    <row r="276" spans="1:19" x14ac:dyDescent="0.25">
      <c r="A276" s="108"/>
      <c r="B276" s="109"/>
      <c r="C276" s="12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1"/>
      <c r="S276" s="12"/>
    </row>
    <row r="277" spans="1:19" x14ac:dyDescent="0.25">
      <c r="A277" s="108"/>
      <c r="B277" s="109"/>
      <c r="C277" s="12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1"/>
      <c r="S277" s="12"/>
    </row>
    <row r="278" spans="1:19" x14ac:dyDescent="0.25">
      <c r="A278" s="108"/>
      <c r="B278" s="109"/>
      <c r="C278" s="12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1"/>
      <c r="S278" s="12"/>
    </row>
    <row r="279" spans="1:19" x14ac:dyDescent="0.25">
      <c r="A279" s="108"/>
      <c r="B279" s="109"/>
      <c r="C279" s="12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1"/>
      <c r="S279" s="12"/>
    </row>
    <row r="280" spans="1:19" x14ac:dyDescent="0.25">
      <c r="A280" s="108"/>
      <c r="B280" s="109"/>
      <c r="C280" s="12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1"/>
      <c r="S280" s="12"/>
    </row>
    <row r="281" spans="1:19" x14ac:dyDescent="0.25">
      <c r="A281" s="108"/>
      <c r="B281" s="109"/>
      <c r="C281" s="12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1"/>
      <c r="S281" s="12"/>
    </row>
    <row r="282" spans="1:19" x14ac:dyDescent="0.25">
      <c r="A282" s="108"/>
      <c r="B282" s="109"/>
      <c r="C282" s="12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1"/>
      <c r="S282" s="12"/>
    </row>
    <row r="283" spans="1:19" x14ac:dyDescent="0.25">
      <c r="A283" s="108"/>
      <c r="B283" s="109"/>
      <c r="C283" s="12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1"/>
      <c r="S283" s="12"/>
    </row>
    <row r="284" spans="1:19" x14ac:dyDescent="0.25">
      <c r="A284" s="108"/>
      <c r="B284" s="109"/>
      <c r="C284" s="12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1"/>
      <c r="S284" s="12"/>
    </row>
    <row r="285" spans="1:19" x14ac:dyDescent="0.25">
      <c r="A285" s="108"/>
      <c r="B285" s="109"/>
      <c r="C285" s="12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1"/>
      <c r="S285" s="12"/>
    </row>
    <row r="286" spans="1:19" x14ac:dyDescent="0.25">
      <c r="A286" s="108"/>
      <c r="B286" s="109"/>
      <c r="C286" s="12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1"/>
      <c r="S286" s="12"/>
    </row>
    <row r="287" spans="1:19" x14ac:dyDescent="0.25">
      <c r="A287" s="108"/>
      <c r="B287" s="109"/>
      <c r="C287" s="12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1"/>
      <c r="S287" s="12"/>
    </row>
    <row r="288" spans="1:19" x14ac:dyDescent="0.25">
      <c r="A288" s="108"/>
      <c r="B288" s="109"/>
      <c r="C288" s="12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1"/>
      <c r="S288" s="12"/>
    </row>
    <row r="289" spans="1:19" x14ac:dyDescent="0.25">
      <c r="A289" s="108"/>
      <c r="B289" s="109"/>
      <c r="C289" s="12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1"/>
      <c r="S289" s="12"/>
    </row>
    <row r="290" spans="1:19" x14ac:dyDescent="0.25">
      <c r="A290" s="108"/>
      <c r="B290" s="109"/>
      <c r="C290" s="12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1"/>
      <c r="S290" s="12"/>
    </row>
    <row r="291" spans="1:19" x14ac:dyDescent="0.25">
      <c r="A291" s="108"/>
      <c r="B291" s="109"/>
      <c r="C291" s="12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1"/>
      <c r="S291" s="12"/>
    </row>
    <row r="292" spans="1:19" x14ac:dyDescent="0.25">
      <c r="A292" s="108"/>
      <c r="B292" s="109"/>
      <c r="C292" s="12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1"/>
      <c r="S292" s="12"/>
    </row>
    <row r="293" spans="1:19" x14ac:dyDescent="0.25">
      <c r="A293" s="108"/>
      <c r="B293" s="109"/>
      <c r="C293" s="12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1"/>
      <c r="S293" s="12"/>
    </row>
    <row r="294" spans="1:19" x14ac:dyDescent="0.25">
      <c r="A294" s="108"/>
      <c r="B294" s="109"/>
      <c r="C294" s="12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1"/>
      <c r="S294" s="12"/>
    </row>
    <row r="295" spans="1:19" x14ac:dyDescent="0.25">
      <c r="A295" s="108"/>
      <c r="B295" s="109"/>
      <c r="C295" s="12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1"/>
      <c r="S295" s="12"/>
    </row>
    <row r="296" spans="1:19" x14ac:dyDescent="0.25">
      <c r="A296" s="108"/>
      <c r="B296" s="109"/>
      <c r="C296" s="12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1"/>
      <c r="S296" s="12"/>
    </row>
    <row r="297" spans="1:19" x14ac:dyDescent="0.25">
      <c r="A297" s="108"/>
      <c r="B297" s="109"/>
      <c r="C297" s="12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1"/>
      <c r="S297" s="12"/>
    </row>
    <row r="298" spans="1:19" x14ac:dyDescent="0.25">
      <c r="A298" s="108"/>
      <c r="B298" s="109"/>
      <c r="C298" s="12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1"/>
      <c r="S298" s="12"/>
    </row>
    <row r="299" spans="1:19" x14ac:dyDescent="0.25">
      <c r="A299" s="108"/>
      <c r="B299" s="109"/>
      <c r="C299" s="12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2"/>
      <c r="S299" s="12"/>
    </row>
    <row r="300" spans="1:19" x14ac:dyDescent="0.25">
      <c r="A300" s="108"/>
      <c r="B300" s="109"/>
      <c r="C300" s="12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2"/>
      <c r="S300" s="12"/>
    </row>
    <row r="301" spans="1:19" x14ac:dyDescent="0.25">
      <c r="A301" s="108"/>
      <c r="B301" s="109"/>
      <c r="C301" s="12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2"/>
      <c r="S301" s="12"/>
    </row>
    <row r="302" spans="1:19" x14ac:dyDescent="0.25">
      <c r="A302" s="108"/>
      <c r="B302" s="109"/>
      <c r="C302" s="12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2"/>
      <c r="S302" s="12"/>
    </row>
    <row r="303" spans="1:19" x14ac:dyDescent="0.25">
      <c r="A303" s="108"/>
      <c r="B303" s="109"/>
      <c r="C303" s="12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2"/>
      <c r="S303" s="12"/>
    </row>
    <row r="304" spans="1:19" x14ac:dyDescent="0.25">
      <c r="A304" s="108"/>
      <c r="B304" s="109"/>
      <c r="C304" s="12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2"/>
      <c r="S304" s="12"/>
    </row>
    <row r="305" spans="1:19" x14ac:dyDescent="0.25">
      <c r="A305" s="108"/>
      <c r="B305" s="109"/>
      <c r="C305" s="12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2"/>
      <c r="S305" s="12"/>
    </row>
    <row r="306" spans="1:19" x14ac:dyDescent="0.25">
      <c r="A306" s="108"/>
      <c r="B306" s="109"/>
      <c r="C306" s="12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2"/>
      <c r="S306" s="12"/>
    </row>
    <row r="307" spans="1:19" x14ac:dyDescent="0.25">
      <c r="A307" s="109"/>
      <c r="B307" s="109"/>
      <c r="C307" s="12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2"/>
      <c r="S307" s="12"/>
    </row>
    <row r="308" spans="1:19" x14ac:dyDescent="0.25">
      <c r="A308" s="109"/>
      <c r="B308" s="109"/>
      <c r="C308" s="12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2"/>
      <c r="S308" s="12"/>
    </row>
    <row r="309" spans="1:19" x14ac:dyDescent="0.25">
      <c r="A309" s="109"/>
      <c r="B309" s="109"/>
      <c r="C309" s="12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2"/>
      <c r="S309" s="12"/>
    </row>
    <row r="310" spans="1:19" x14ac:dyDescent="0.25">
      <c r="A310" s="109"/>
      <c r="B310" s="109"/>
      <c r="C310" s="12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2"/>
      <c r="S310" s="12"/>
    </row>
    <row r="311" spans="1:19" x14ac:dyDescent="0.25">
      <c r="A311" s="109"/>
      <c r="B311" s="109"/>
      <c r="C311" s="12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2"/>
      <c r="S311" s="12"/>
    </row>
    <row r="312" spans="1:19" x14ac:dyDescent="0.25">
      <c r="A312" s="109"/>
      <c r="B312" s="109"/>
      <c r="C312" s="12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2"/>
      <c r="S312" s="12"/>
    </row>
    <row r="313" spans="1:19" x14ac:dyDescent="0.25">
      <c r="A313" s="109"/>
      <c r="B313" s="109"/>
      <c r="C313" s="12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2"/>
      <c r="S313" s="12"/>
    </row>
    <row r="314" spans="1:19" x14ac:dyDescent="0.25">
      <c r="A314" s="109"/>
      <c r="B314" s="109"/>
      <c r="C314" s="12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2"/>
      <c r="S314" s="12"/>
    </row>
    <row r="315" spans="1:19" x14ac:dyDescent="0.25">
      <c r="A315" s="109"/>
      <c r="B315" s="109"/>
      <c r="C315" s="12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2"/>
      <c r="S315" s="12"/>
    </row>
    <row r="316" spans="1:19" x14ac:dyDescent="0.25">
      <c r="A316" s="109"/>
      <c r="B316" s="109"/>
      <c r="C316" s="12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2"/>
      <c r="S316" s="12"/>
    </row>
    <row r="317" spans="1:19" x14ac:dyDescent="0.25">
      <c r="A317" s="109"/>
      <c r="B317" s="109"/>
      <c r="C317" s="12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2"/>
      <c r="S317" s="12"/>
    </row>
    <row r="318" spans="1:19" x14ac:dyDescent="0.25">
      <c r="A318" s="109"/>
      <c r="B318" s="109"/>
      <c r="C318" s="12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2"/>
      <c r="S318" s="12"/>
    </row>
    <row r="319" spans="1:19" x14ac:dyDescent="0.25">
      <c r="A319" s="109"/>
      <c r="B319" s="109"/>
      <c r="C319" s="12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2"/>
      <c r="S319" s="12"/>
    </row>
    <row r="320" spans="1:19" x14ac:dyDescent="0.25">
      <c r="A320" s="109"/>
      <c r="B320" s="109"/>
      <c r="C320" s="12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2"/>
      <c r="S320" s="12"/>
    </row>
    <row r="321" spans="1:19" x14ac:dyDescent="0.25">
      <c r="A321" s="109"/>
      <c r="B321" s="109"/>
      <c r="C321" s="12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2"/>
      <c r="S321" s="12"/>
    </row>
    <row r="322" spans="1:19" x14ac:dyDescent="0.25">
      <c r="A322" s="109"/>
      <c r="B322" s="109"/>
      <c r="C322" s="12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2"/>
      <c r="S322" s="12"/>
    </row>
    <row r="323" spans="1:19" x14ac:dyDescent="0.25">
      <c r="A323" s="109"/>
      <c r="B323" s="109"/>
      <c r="C323" s="12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2"/>
      <c r="S323" s="12"/>
    </row>
    <row r="324" spans="1:19" x14ac:dyDescent="0.25">
      <c r="A324" s="109"/>
      <c r="B324" s="109"/>
      <c r="C324" s="12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2"/>
      <c r="S324" s="12"/>
    </row>
    <row r="325" spans="1:19" x14ac:dyDescent="0.25">
      <c r="A325" s="109"/>
      <c r="B325" s="109"/>
      <c r="C325" s="12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2"/>
      <c r="S325" s="12"/>
    </row>
    <row r="326" spans="1:19" x14ac:dyDescent="0.25">
      <c r="A326" s="109"/>
      <c r="B326" s="109"/>
      <c r="C326" s="12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2"/>
      <c r="S326" s="12"/>
    </row>
    <row r="327" spans="1:19" x14ac:dyDescent="0.25">
      <c r="A327" s="109"/>
      <c r="B327" s="109"/>
      <c r="C327" s="12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2"/>
      <c r="S327" s="12"/>
    </row>
    <row r="328" spans="1:19" x14ac:dyDescent="0.25">
      <c r="A328" s="109"/>
      <c r="B328" s="109"/>
      <c r="C328" s="12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2"/>
      <c r="S328" s="12"/>
    </row>
    <row r="329" spans="1:19" x14ac:dyDescent="0.25">
      <c r="A329" s="109"/>
      <c r="B329" s="109"/>
      <c r="C329" s="12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2"/>
      <c r="S329" s="12"/>
    </row>
    <row r="330" spans="1:19" x14ac:dyDescent="0.25">
      <c r="A330" s="109"/>
      <c r="B330" s="109"/>
      <c r="C330" s="12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2"/>
      <c r="S330" s="12"/>
    </row>
    <row r="331" spans="1:19" x14ac:dyDescent="0.25">
      <c r="A331" s="109"/>
      <c r="B331" s="109"/>
      <c r="C331" s="12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2"/>
      <c r="S331" s="12"/>
    </row>
    <row r="332" spans="1:19" x14ac:dyDescent="0.25">
      <c r="A332" s="109"/>
      <c r="B332" s="109"/>
      <c r="C332" s="12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2"/>
      <c r="S332" s="12"/>
    </row>
    <row r="333" spans="1:19" x14ac:dyDescent="0.25">
      <c r="A333" s="109"/>
      <c r="B333" s="109"/>
      <c r="C333" s="12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2"/>
      <c r="S333" s="12"/>
    </row>
    <row r="334" spans="1:19" x14ac:dyDescent="0.25">
      <c r="A334" s="109"/>
      <c r="B334" s="109"/>
      <c r="C334" s="12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2"/>
      <c r="S334" s="12"/>
    </row>
    <row r="335" spans="1:19" x14ac:dyDescent="0.25">
      <c r="A335" s="109"/>
      <c r="B335" s="109"/>
      <c r="C335" s="12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2"/>
      <c r="S335" s="12"/>
    </row>
    <row r="336" spans="1:19" x14ac:dyDescent="0.25">
      <c r="A336" s="109"/>
      <c r="B336" s="109"/>
      <c r="C336" s="12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2"/>
      <c r="S336" s="12"/>
    </row>
    <row r="337" spans="1:19" x14ac:dyDescent="0.25">
      <c r="A337" s="109"/>
      <c r="B337" s="109"/>
      <c r="C337" s="12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2"/>
      <c r="S337" s="12"/>
    </row>
    <row r="338" spans="1:19" x14ac:dyDescent="0.25">
      <c r="A338" s="109"/>
      <c r="B338" s="109"/>
      <c r="C338" s="12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2"/>
      <c r="S338" s="12"/>
    </row>
    <row r="339" spans="1:19" x14ac:dyDescent="0.25">
      <c r="A339" s="109"/>
      <c r="B339" s="109"/>
      <c r="C339" s="12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2"/>
      <c r="S339" s="12"/>
    </row>
    <row r="340" spans="1:19" x14ac:dyDescent="0.25">
      <c r="A340" s="109"/>
      <c r="B340" s="109"/>
      <c r="C340" s="12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2"/>
      <c r="S340" s="12"/>
    </row>
    <row r="341" spans="1:19" x14ac:dyDescent="0.25">
      <c r="A341" s="109"/>
      <c r="B341" s="109"/>
      <c r="C341" s="12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2"/>
      <c r="S341" s="12"/>
    </row>
    <row r="342" spans="1:19" x14ac:dyDescent="0.25">
      <c r="A342" s="109"/>
      <c r="B342" s="109"/>
      <c r="C342" s="12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2"/>
      <c r="S342" s="12"/>
    </row>
    <row r="343" spans="1:19" x14ac:dyDescent="0.25">
      <c r="A343" s="109"/>
      <c r="B343" s="109"/>
      <c r="C343" s="12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2"/>
      <c r="S343" s="12"/>
    </row>
    <row r="344" spans="1:19" x14ac:dyDescent="0.25">
      <c r="A344" s="109"/>
      <c r="B344" s="109"/>
      <c r="C344" s="12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2"/>
      <c r="S344" s="12"/>
    </row>
    <row r="345" spans="1:19" x14ac:dyDescent="0.25">
      <c r="A345" s="109"/>
      <c r="B345" s="109"/>
      <c r="C345" s="12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2"/>
      <c r="S345" s="12"/>
    </row>
    <row r="346" spans="1:19" x14ac:dyDescent="0.25">
      <c r="A346" s="109"/>
      <c r="B346" s="109"/>
      <c r="C346" s="12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2"/>
      <c r="S346" s="12"/>
    </row>
    <row r="347" spans="1:19" x14ac:dyDescent="0.25">
      <c r="A347" s="109"/>
      <c r="B347" s="109"/>
      <c r="C347" s="12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2"/>
      <c r="S347" s="12"/>
    </row>
    <row r="348" spans="1:19" x14ac:dyDescent="0.25">
      <c r="A348" s="109"/>
      <c r="B348" s="109"/>
      <c r="C348" s="12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2"/>
      <c r="S348" s="12"/>
    </row>
    <row r="349" spans="1:19" x14ac:dyDescent="0.25">
      <c r="A349" s="109"/>
      <c r="B349" s="109"/>
      <c r="C349" s="12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2"/>
      <c r="S349" s="12"/>
    </row>
    <row r="350" spans="1:19" x14ac:dyDescent="0.25">
      <c r="A350" s="109"/>
      <c r="B350" s="109"/>
      <c r="C350" s="12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2"/>
      <c r="S350" s="12"/>
    </row>
    <row r="351" spans="1:19" x14ac:dyDescent="0.25">
      <c r="A351" s="109"/>
      <c r="B351" s="109"/>
      <c r="C351" s="12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2"/>
      <c r="S351" s="12"/>
    </row>
    <row r="352" spans="1:19" x14ac:dyDescent="0.25">
      <c r="A352" s="109"/>
      <c r="B352" s="109"/>
      <c r="C352" s="12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2"/>
      <c r="S352" s="12"/>
    </row>
    <row r="353" spans="1:19" x14ac:dyDescent="0.25">
      <c r="A353" s="109"/>
      <c r="B353" s="109"/>
      <c r="C353" s="12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2"/>
      <c r="S353" s="12"/>
    </row>
    <row r="354" spans="1:19" x14ac:dyDescent="0.25">
      <c r="A354" s="109"/>
      <c r="B354" s="109"/>
      <c r="C354" s="12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2"/>
      <c r="S354" s="12"/>
    </row>
    <row r="355" spans="1:19" x14ac:dyDescent="0.25">
      <c r="A355" s="109"/>
      <c r="B355" s="109"/>
      <c r="C355" s="12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2"/>
      <c r="S355" s="12"/>
    </row>
    <row r="356" spans="1:19" x14ac:dyDescent="0.25">
      <c r="A356" s="109"/>
      <c r="B356" s="109"/>
      <c r="C356" s="12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2"/>
      <c r="S356" s="12"/>
    </row>
    <row r="357" spans="1:19" x14ac:dyDescent="0.25">
      <c r="A357" s="109"/>
      <c r="B357" s="109"/>
      <c r="C357" s="12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2"/>
      <c r="S357" s="12"/>
    </row>
    <row r="358" spans="1:19" x14ac:dyDescent="0.25">
      <c r="A358" s="109"/>
      <c r="B358" s="109"/>
      <c r="C358" s="12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2"/>
      <c r="S358" s="12"/>
    </row>
    <row r="359" spans="1:19" x14ac:dyDescent="0.25">
      <c r="A359" s="109"/>
      <c r="B359" s="109"/>
      <c r="C359" s="12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2"/>
      <c r="S359" s="12"/>
    </row>
    <row r="360" spans="1:19" x14ac:dyDescent="0.25">
      <c r="A360" s="109"/>
      <c r="B360" s="109"/>
      <c r="C360" s="12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2"/>
      <c r="S360" s="12"/>
    </row>
    <row r="361" spans="1:19" x14ac:dyDescent="0.25">
      <c r="A361" s="109"/>
      <c r="B361" s="109"/>
      <c r="C361" s="12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2"/>
      <c r="S361" s="12"/>
    </row>
    <row r="362" spans="1:19" x14ac:dyDescent="0.25">
      <c r="A362" s="99"/>
      <c r="B362" s="99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</row>
    <row r="363" spans="1:19" x14ac:dyDescent="0.25">
      <c r="A363" s="99"/>
      <c r="B363" s="99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</row>
    <row r="364" spans="1:19" x14ac:dyDescent="0.25">
      <c r="A364" s="99"/>
      <c r="B364" s="99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</row>
    <row r="365" spans="1:19" x14ac:dyDescent="0.25">
      <c r="A365" s="99"/>
      <c r="B365" s="99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</row>
    <row r="366" spans="1:19" x14ac:dyDescent="0.25">
      <c r="A366" s="99"/>
      <c r="B366" s="99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</row>
    <row r="367" spans="1:19" x14ac:dyDescent="0.25">
      <c r="A367" s="99"/>
      <c r="B367" s="99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</row>
    <row r="368" spans="1:19" x14ac:dyDescent="0.25">
      <c r="A368" s="99"/>
      <c r="B368" s="99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</row>
    <row r="369" spans="1:17" x14ac:dyDescent="0.25">
      <c r="A369" s="99"/>
      <c r="B369" s="99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</row>
    <row r="370" spans="1:17" x14ac:dyDescent="0.25">
      <c r="A370" s="99"/>
      <c r="B370" s="99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</row>
    <row r="371" spans="1:17" x14ac:dyDescent="0.25">
      <c r="A371" s="99"/>
      <c r="B371" s="99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</row>
    <row r="372" spans="1:17" x14ac:dyDescent="0.25">
      <c r="A372" s="99"/>
      <c r="B372" s="99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</row>
    <row r="373" spans="1:17" x14ac:dyDescent="0.25">
      <c r="A373" s="99"/>
      <c r="B373" s="99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</row>
    <row r="374" spans="1:17" x14ac:dyDescent="0.25">
      <c r="A374" s="99"/>
      <c r="B374" s="99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</row>
    <row r="375" spans="1:17" x14ac:dyDescent="0.25">
      <c r="A375" s="99"/>
      <c r="B375" s="99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</row>
    <row r="376" spans="1:17" x14ac:dyDescent="0.25">
      <c r="A376" s="99"/>
      <c r="B376" s="99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</row>
    <row r="377" spans="1:17" x14ac:dyDescent="0.25">
      <c r="A377" s="99"/>
      <c r="B377" s="99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</row>
    <row r="378" spans="1:17" x14ac:dyDescent="0.25">
      <c r="A378" s="99"/>
      <c r="B378" s="99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</row>
    <row r="379" spans="1:17" x14ac:dyDescent="0.25">
      <c r="A379" s="99"/>
      <c r="B379" s="99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</row>
    <row r="380" spans="1:17" x14ac:dyDescent="0.25">
      <c r="A380" s="99"/>
      <c r="B380" s="99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</row>
    <row r="381" spans="1:17" x14ac:dyDescent="0.25">
      <c r="A381" s="99"/>
      <c r="B381" s="99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</row>
    <row r="382" spans="1:17" x14ac:dyDescent="0.25">
      <c r="A382" s="99"/>
      <c r="B382" s="99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</row>
    <row r="383" spans="1:17" x14ac:dyDescent="0.25">
      <c r="A383" s="99"/>
      <c r="B383" s="99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</row>
    <row r="384" spans="1:17" x14ac:dyDescent="0.25">
      <c r="A384" s="99"/>
      <c r="B384" s="99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</row>
    <row r="385" spans="1:17" x14ac:dyDescent="0.25">
      <c r="A385" s="99"/>
      <c r="B385" s="99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</row>
    <row r="386" spans="1:17" x14ac:dyDescent="0.25">
      <c r="A386" s="99"/>
      <c r="B386" s="99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</row>
    <row r="387" spans="1:17" x14ac:dyDescent="0.25">
      <c r="A387" s="99"/>
      <c r="B387" s="99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</row>
    <row r="388" spans="1:17" x14ac:dyDescent="0.25">
      <c r="A388" s="99"/>
      <c r="B388" s="99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</row>
    <row r="389" spans="1:17" x14ac:dyDescent="0.25">
      <c r="A389" s="99"/>
      <c r="B389" s="99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</row>
    <row r="390" spans="1:17" x14ac:dyDescent="0.25">
      <c r="A390" s="99"/>
      <c r="B390" s="99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</row>
    <row r="391" spans="1:17" x14ac:dyDescent="0.25">
      <c r="A391" s="99"/>
      <c r="B391" s="99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</row>
    <row r="392" spans="1:17" x14ac:dyDescent="0.25">
      <c r="A392" s="99"/>
      <c r="B392" s="99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</row>
    <row r="393" spans="1:17" x14ac:dyDescent="0.25">
      <c r="A393" s="99"/>
      <c r="B393" s="99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</row>
    <row r="394" spans="1:17" x14ac:dyDescent="0.25">
      <c r="A394" s="99"/>
      <c r="B394" s="99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</row>
    <row r="395" spans="1:17" x14ac:dyDescent="0.25">
      <c r="A395" s="99"/>
      <c r="B395" s="99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</row>
    <row r="396" spans="1:17" x14ac:dyDescent="0.25">
      <c r="A396" s="99"/>
      <c r="B396" s="99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</row>
    <row r="397" spans="1:17" x14ac:dyDescent="0.25">
      <c r="A397" s="99"/>
      <c r="B397" s="99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</row>
    <row r="398" spans="1:17" x14ac:dyDescent="0.25">
      <c r="A398" s="99"/>
      <c r="B398" s="99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</row>
    <row r="399" spans="1:17" x14ac:dyDescent="0.25">
      <c r="A399" s="99"/>
      <c r="B399" s="99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</row>
    <row r="400" spans="1:17" x14ac:dyDescent="0.25">
      <c r="A400" s="99"/>
      <c r="B400" s="99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</row>
    <row r="401" spans="1:17" x14ac:dyDescent="0.25">
      <c r="A401" s="99"/>
      <c r="B401" s="99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</row>
    <row r="402" spans="1:17" x14ac:dyDescent="0.25">
      <c r="A402" s="99"/>
      <c r="B402" s="99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</row>
    <row r="403" spans="1:17" x14ac:dyDescent="0.25">
      <c r="A403" s="99"/>
      <c r="B403" s="99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</row>
    <row r="404" spans="1:17" x14ac:dyDescent="0.25">
      <c r="A404" s="99"/>
      <c r="B404" s="99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</row>
    <row r="405" spans="1:17" x14ac:dyDescent="0.25">
      <c r="A405" s="99"/>
      <c r="B405" s="99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</row>
    <row r="406" spans="1:17" x14ac:dyDescent="0.25">
      <c r="A406" s="99"/>
      <c r="B406" s="99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</row>
    <row r="407" spans="1:17" x14ac:dyDescent="0.25">
      <c r="A407" s="99"/>
      <c r="B407" s="99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</row>
    <row r="408" spans="1:17" x14ac:dyDescent="0.25">
      <c r="A408" s="99"/>
      <c r="B408" s="99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</row>
    <row r="409" spans="1:17" x14ac:dyDescent="0.25">
      <c r="A409" s="99"/>
      <c r="B409" s="99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</row>
    <row r="410" spans="1:17" x14ac:dyDescent="0.25">
      <c r="A410" s="99"/>
      <c r="B410" s="99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</row>
    <row r="411" spans="1:17" x14ac:dyDescent="0.25">
      <c r="A411" s="99"/>
      <c r="B411" s="99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</row>
    <row r="412" spans="1:17" x14ac:dyDescent="0.25">
      <c r="A412" s="99"/>
      <c r="B412" s="99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</row>
    <row r="413" spans="1:17" x14ac:dyDescent="0.25">
      <c r="A413" s="99"/>
      <c r="B413" s="99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</row>
    <row r="414" spans="1:17" x14ac:dyDescent="0.25">
      <c r="A414" s="99"/>
      <c r="B414" s="99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</row>
    <row r="415" spans="1:17" x14ac:dyDescent="0.25">
      <c r="A415" s="99"/>
      <c r="B415" s="99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</row>
    <row r="416" spans="1:17" x14ac:dyDescent="0.25">
      <c r="A416" s="99"/>
      <c r="B416" s="99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</row>
    <row r="417" spans="1:17" x14ac:dyDescent="0.25">
      <c r="A417" s="99"/>
      <c r="B417" s="99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</row>
    <row r="418" spans="1:17" x14ac:dyDescent="0.25">
      <c r="A418" s="99"/>
      <c r="B418" s="99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</row>
    <row r="419" spans="1:17" x14ac:dyDescent="0.25">
      <c r="A419" s="99"/>
      <c r="B419" s="99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</row>
    <row r="420" spans="1:17" x14ac:dyDescent="0.25">
      <c r="A420" s="99"/>
      <c r="B420" s="99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</row>
    <row r="421" spans="1:17" x14ac:dyDescent="0.25">
      <c r="A421" s="99"/>
      <c r="B421" s="99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</row>
    <row r="422" spans="1:17" x14ac:dyDescent="0.25">
      <c r="A422" s="99"/>
      <c r="B422" s="99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</row>
    <row r="423" spans="1:17" x14ac:dyDescent="0.25">
      <c r="A423" s="99"/>
      <c r="B423" s="99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</row>
    <row r="424" spans="1:17" x14ac:dyDescent="0.25">
      <c r="A424" s="99"/>
      <c r="B424" s="99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</row>
    <row r="425" spans="1:17" x14ac:dyDescent="0.25">
      <c r="A425" s="99"/>
      <c r="B425" s="99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</row>
    <row r="426" spans="1:17" x14ac:dyDescent="0.25">
      <c r="A426" s="99"/>
      <c r="B426" s="99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</row>
    <row r="427" spans="1:17" x14ac:dyDescent="0.25">
      <c r="A427" s="99"/>
      <c r="B427" s="99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</row>
    <row r="428" spans="1:17" x14ac:dyDescent="0.25">
      <c r="A428" s="99"/>
      <c r="B428" s="99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</row>
    <row r="429" spans="1:17" x14ac:dyDescent="0.25">
      <c r="A429" s="99"/>
      <c r="B429" s="99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</row>
    <row r="430" spans="1:17" x14ac:dyDescent="0.25">
      <c r="A430" s="99"/>
      <c r="B430" s="99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</row>
    <row r="431" spans="1:17" x14ac:dyDescent="0.25">
      <c r="A431" s="99"/>
      <c r="B431" s="99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</row>
    <row r="432" spans="1:17" x14ac:dyDescent="0.25">
      <c r="A432" s="99"/>
      <c r="B432" s="99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</row>
    <row r="433" spans="1:17" x14ac:dyDescent="0.25">
      <c r="A433" s="99"/>
      <c r="B433" s="99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</row>
    <row r="434" spans="1:17" x14ac:dyDescent="0.25">
      <c r="A434" s="99"/>
      <c r="B434" s="99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</row>
    <row r="435" spans="1:17" x14ac:dyDescent="0.25">
      <c r="A435" s="99"/>
      <c r="B435" s="99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</row>
    <row r="436" spans="1:17" x14ac:dyDescent="0.25"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</row>
    <row r="437" spans="1:17" x14ac:dyDescent="0.25"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</row>
    <row r="438" spans="1:17" x14ac:dyDescent="0.25"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</row>
    <row r="439" spans="1:17" x14ac:dyDescent="0.25"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</row>
    <row r="440" spans="1:17" x14ac:dyDescent="0.25"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</row>
    <row r="441" spans="1:17" x14ac:dyDescent="0.25"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</row>
    <row r="442" spans="1:17" x14ac:dyDescent="0.25"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</row>
    <row r="443" spans="1:17" x14ac:dyDescent="0.25"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</row>
    <row r="444" spans="1:17" x14ac:dyDescent="0.25"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</row>
    <row r="445" spans="1:17" x14ac:dyDescent="0.25"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</row>
    <row r="446" spans="1:17" x14ac:dyDescent="0.25"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</row>
    <row r="447" spans="1:17" x14ac:dyDescent="0.25"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</row>
    <row r="448" spans="1:17" x14ac:dyDescent="0.25"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</row>
    <row r="449" spans="4:17" x14ac:dyDescent="0.25"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</row>
    <row r="450" spans="4:17" x14ac:dyDescent="0.25"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</row>
    <row r="451" spans="4:17" x14ac:dyDescent="0.25"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</row>
    <row r="452" spans="4:17" x14ac:dyDescent="0.25"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</row>
    <row r="453" spans="4:17" x14ac:dyDescent="0.25"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</row>
    <row r="454" spans="4:17" x14ac:dyDescent="0.25"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</row>
    <row r="455" spans="4:17" x14ac:dyDescent="0.25"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</row>
    <row r="456" spans="4:17" x14ac:dyDescent="0.25"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</row>
    <row r="457" spans="4:17" x14ac:dyDescent="0.25"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</row>
    <row r="458" spans="4:17" x14ac:dyDescent="0.25"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</row>
    <row r="459" spans="4:17" x14ac:dyDescent="0.25"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</row>
    <row r="460" spans="4:17" x14ac:dyDescent="0.25"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</row>
    <row r="461" spans="4:17" x14ac:dyDescent="0.25"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</row>
    <row r="462" spans="4:17" x14ac:dyDescent="0.25"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</row>
    <row r="463" spans="4:17" x14ac:dyDescent="0.25"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</row>
    <row r="464" spans="4:17" x14ac:dyDescent="0.25"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</row>
    <row r="465" spans="4:17" x14ac:dyDescent="0.25"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</row>
    <row r="466" spans="4:17" x14ac:dyDescent="0.25"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</row>
    <row r="467" spans="4:17" x14ac:dyDescent="0.25"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</row>
    <row r="468" spans="4:17" x14ac:dyDescent="0.25"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</row>
    <row r="469" spans="4:17" x14ac:dyDescent="0.25"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</row>
    <row r="470" spans="4:17" x14ac:dyDescent="0.25"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</row>
    <row r="471" spans="4:17" x14ac:dyDescent="0.25"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</row>
    <row r="472" spans="4:17" x14ac:dyDescent="0.25"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</row>
    <row r="473" spans="4:17" x14ac:dyDescent="0.25"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</row>
    <row r="474" spans="4:17" x14ac:dyDescent="0.25"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</row>
    <row r="475" spans="4:17" x14ac:dyDescent="0.25"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</row>
    <row r="476" spans="4:17" x14ac:dyDescent="0.25"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</row>
    <row r="477" spans="4:17" x14ac:dyDescent="0.25"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</row>
    <row r="478" spans="4:17" x14ac:dyDescent="0.25"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</row>
    <row r="479" spans="4:17" x14ac:dyDescent="0.25"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</row>
    <row r="480" spans="4:17" x14ac:dyDescent="0.25"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</row>
    <row r="481" spans="4:17" x14ac:dyDescent="0.25"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</row>
    <row r="482" spans="4:17" x14ac:dyDescent="0.25"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</row>
    <row r="483" spans="4:17" x14ac:dyDescent="0.25"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</row>
    <row r="484" spans="4:17" x14ac:dyDescent="0.25"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</row>
    <row r="485" spans="4:17" x14ac:dyDescent="0.25"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</row>
    <row r="486" spans="4:17" x14ac:dyDescent="0.25"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</row>
    <row r="487" spans="4:17" x14ac:dyDescent="0.25"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</row>
    <row r="488" spans="4:17" x14ac:dyDescent="0.25"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</row>
    <row r="489" spans="4:17" x14ac:dyDescent="0.25"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</row>
    <row r="490" spans="4:17" x14ac:dyDescent="0.25"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</row>
    <row r="491" spans="4:17" x14ac:dyDescent="0.25"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</row>
    <row r="492" spans="4:17" x14ac:dyDescent="0.25"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</row>
    <row r="493" spans="4:17" x14ac:dyDescent="0.25"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</row>
    <row r="494" spans="4:17" x14ac:dyDescent="0.25"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</row>
    <row r="495" spans="4:17" x14ac:dyDescent="0.25"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</row>
    <row r="496" spans="4:17" x14ac:dyDescent="0.25"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</row>
    <row r="497" spans="4:17" x14ac:dyDescent="0.25"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</row>
    <row r="498" spans="4:17" x14ac:dyDescent="0.25"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</row>
    <row r="499" spans="4:17" x14ac:dyDescent="0.25"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</row>
    <row r="500" spans="4:17" x14ac:dyDescent="0.25"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</row>
    <row r="501" spans="4:17" x14ac:dyDescent="0.25"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</row>
    <row r="502" spans="4:17" x14ac:dyDescent="0.25"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</row>
    <row r="503" spans="4:17" x14ac:dyDescent="0.25"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</row>
    <row r="504" spans="4:17" x14ac:dyDescent="0.25"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</row>
    <row r="505" spans="4:17" x14ac:dyDescent="0.25"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</row>
    <row r="506" spans="4:17" x14ac:dyDescent="0.25"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</row>
    <row r="507" spans="4:17" x14ac:dyDescent="0.25"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</row>
    <row r="508" spans="4:17" x14ac:dyDescent="0.25"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</row>
    <row r="509" spans="4:17" x14ac:dyDescent="0.25"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</row>
    <row r="510" spans="4:17" x14ac:dyDescent="0.25"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</row>
    <row r="511" spans="4:17" x14ac:dyDescent="0.25"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</row>
    <row r="512" spans="4:17" x14ac:dyDescent="0.25"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</row>
    <row r="513" spans="4:17" x14ac:dyDescent="0.25"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</row>
    <row r="514" spans="4:17" x14ac:dyDescent="0.25"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</row>
    <row r="515" spans="4:17" x14ac:dyDescent="0.25"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</row>
    <row r="516" spans="4:17" x14ac:dyDescent="0.25"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</row>
    <row r="517" spans="4:17" x14ac:dyDescent="0.25"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</row>
    <row r="518" spans="4:17" x14ac:dyDescent="0.25"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</row>
    <row r="519" spans="4:17" x14ac:dyDescent="0.25"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</row>
    <row r="520" spans="4:17" x14ac:dyDescent="0.25"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</row>
    <row r="521" spans="4:17" x14ac:dyDescent="0.25"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</row>
    <row r="522" spans="4:17" x14ac:dyDescent="0.25"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</row>
    <row r="523" spans="4:17" x14ac:dyDescent="0.25"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</row>
    <row r="524" spans="4:17" x14ac:dyDescent="0.25"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</row>
    <row r="525" spans="4:17" x14ac:dyDescent="0.25"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</row>
    <row r="526" spans="4:17" x14ac:dyDescent="0.25"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</row>
    <row r="527" spans="4:17" x14ac:dyDescent="0.25"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</row>
    <row r="528" spans="4:17" x14ac:dyDescent="0.25"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</row>
    <row r="529" spans="4:17" x14ac:dyDescent="0.25"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</row>
    <row r="530" spans="4:17" x14ac:dyDescent="0.25"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</row>
    <row r="531" spans="4:17" x14ac:dyDescent="0.25"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</row>
    <row r="532" spans="4:17" x14ac:dyDescent="0.25"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</row>
    <row r="533" spans="4:17" x14ac:dyDescent="0.25"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</row>
    <row r="534" spans="4:17" x14ac:dyDescent="0.25"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</row>
    <row r="535" spans="4:17" x14ac:dyDescent="0.25"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</row>
    <row r="536" spans="4:17" x14ac:dyDescent="0.25"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</row>
    <row r="537" spans="4:17" x14ac:dyDescent="0.25"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</row>
    <row r="538" spans="4:17" x14ac:dyDescent="0.25"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</row>
    <row r="539" spans="4:17" x14ac:dyDescent="0.25"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</row>
    <row r="540" spans="4:17" x14ac:dyDescent="0.25"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</row>
    <row r="541" spans="4:17" x14ac:dyDescent="0.25"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</row>
    <row r="542" spans="4:17" x14ac:dyDescent="0.25"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</row>
    <row r="543" spans="4:17" x14ac:dyDescent="0.25"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</row>
    <row r="544" spans="4:17" x14ac:dyDescent="0.25"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</row>
    <row r="545" spans="4:17" x14ac:dyDescent="0.25"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</row>
    <row r="546" spans="4:17" x14ac:dyDescent="0.25"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</row>
    <row r="547" spans="4:17" x14ac:dyDescent="0.25"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</row>
    <row r="548" spans="4:17" x14ac:dyDescent="0.25"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</row>
    <row r="549" spans="4:17" x14ac:dyDescent="0.25"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</row>
    <row r="550" spans="4:17" x14ac:dyDescent="0.25"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</row>
    <row r="551" spans="4:17" x14ac:dyDescent="0.25"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</row>
    <row r="552" spans="4:17" x14ac:dyDescent="0.25"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</row>
    <row r="553" spans="4:17" x14ac:dyDescent="0.25"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</row>
    <row r="554" spans="4:17" x14ac:dyDescent="0.25"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</row>
    <row r="555" spans="4:17" x14ac:dyDescent="0.25"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</row>
    <row r="556" spans="4:17" x14ac:dyDescent="0.25"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</row>
    <row r="557" spans="4:17" x14ac:dyDescent="0.25"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</row>
    <row r="558" spans="4:17" x14ac:dyDescent="0.25"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</row>
    <row r="559" spans="4:17" x14ac:dyDescent="0.25"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</row>
    <row r="560" spans="4:17" x14ac:dyDescent="0.25"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</row>
    <row r="561" spans="4:17" x14ac:dyDescent="0.25"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</row>
    <row r="562" spans="4:17" x14ac:dyDescent="0.25"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</row>
    <row r="563" spans="4:17" x14ac:dyDescent="0.25"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</row>
    <row r="564" spans="4:17" x14ac:dyDescent="0.25"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</row>
    <row r="565" spans="4:17" x14ac:dyDescent="0.25"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</row>
    <row r="566" spans="4:17" x14ac:dyDescent="0.25"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</row>
    <row r="567" spans="4:17" x14ac:dyDescent="0.25"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</row>
    <row r="568" spans="4:17" x14ac:dyDescent="0.25"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</row>
    <row r="569" spans="4:17" x14ac:dyDescent="0.25"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</row>
    <row r="570" spans="4:17" x14ac:dyDescent="0.25"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</row>
    <row r="571" spans="4:17" x14ac:dyDescent="0.25"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</row>
    <row r="572" spans="4:17" x14ac:dyDescent="0.25"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</row>
    <row r="573" spans="4:17" x14ac:dyDescent="0.25"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</row>
    <row r="574" spans="4:17" x14ac:dyDescent="0.25"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</row>
    <row r="575" spans="4:17" x14ac:dyDescent="0.25"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</row>
    <row r="576" spans="4:17" x14ac:dyDescent="0.25"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</row>
    <row r="577" spans="4:17" x14ac:dyDescent="0.25"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</row>
    <row r="578" spans="4:17" x14ac:dyDescent="0.25"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</row>
    <row r="579" spans="4:17" x14ac:dyDescent="0.25"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</row>
    <row r="580" spans="4:17" x14ac:dyDescent="0.25"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</row>
    <row r="581" spans="4:17" x14ac:dyDescent="0.25"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</row>
    <row r="582" spans="4:17" x14ac:dyDescent="0.25"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</row>
    <row r="583" spans="4:17" x14ac:dyDescent="0.25"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</row>
    <row r="584" spans="4:17" x14ac:dyDescent="0.25"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</row>
    <row r="585" spans="4:17" x14ac:dyDescent="0.25"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</row>
    <row r="586" spans="4:17" x14ac:dyDescent="0.25"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</row>
    <row r="587" spans="4:17" x14ac:dyDescent="0.25"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</row>
    <row r="588" spans="4:17" x14ac:dyDescent="0.25"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</row>
    <row r="589" spans="4:17" x14ac:dyDescent="0.25"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</row>
    <row r="590" spans="4:17" x14ac:dyDescent="0.25"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</row>
    <row r="591" spans="4:17" x14ac:dyDescent="0.25"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</row>
    <row r="592" spans="4:17" x14ac:dyDescent="0.25"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</row>
    <row r="593" spans="4:17" x14ac:dyDescent="0.25"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</row>
    <row r="594" spans="4:17" x14ac:dyDescent="0.25"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</row>
    <row r="595" spans="4:17" x14ac:dyDescent="0.25"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</row>
    <row r="596" spans="4:17" x14ac:dyDescent="0.25"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</row>
    <row r="597" spans="4:17" x14ac:dyDescent="0.25"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</row>
    <row r="598" spans="4:17" x14ac:dyDescent="0.25"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</row>
    <row r="599" spans="4:17" x14ac:dyDescent="0.25"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</row>
    <row r="600" spans="4:17" x14ac:dyDescent="0.25"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</row>
    <row r="601" spans="4:17" x14ac:dyDescent="0.25"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</row>
    <row r="602" spans="4:17" x14ac:dyDescent="0.25"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</row>
    <row r="603" spans="4:17" x14ac:dyDescent="0.25"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</row>
    <row r="604" spans="4:17" x14ac:dyDescent="0.25"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</row>
    <row r="605" spans="4:17" x14ac:dyDescent="0.25"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</row>
    <row r="606" spans="4:17" x14ac:dyDescent="0.25"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</row>
    <row r="607" spans="4:17" x14ac:dyDescent="0.25"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</row>
    <row r="608" spans="4:17" x14ac:dyDescent="0.25"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</row>
    <row r="609" spans="4:17" x14ac:dyDescent="0.25"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</row>
    <row r="610" spans="4:17" x14ac:dyDescent="0.25"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</row>
    <row r="611" spans="4:17" x14ac:dyDescent="0.25"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</row>
    <row r="612" spans="4:17" x14ac:dyDescent="0.25"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</row>
    <row r="613" spans="4:17" x14ac:dyDescent="0.25"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</row>
    <row r="614" spans="4:17" x14ac:dyDescent="0.25"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</row>
    <row r="615" spans="4:17" x14ac:dyDescent="0.25"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</row>
    <row r="616" spans="4:17" x14ac:dyDescent="0.25"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</row>
    <row r="617" spans="4:17" x14ac:dyDescent="0.25"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</row>
    <row r="618" spans="4:17" x14ac:dyDescent="0.25"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</row>
    <row r="619" spans="4:17" x14ac:dyDescent="0.25"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</row>
    <row r="620" spans="4:17" x14ac:dyDescent="0.25"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</row>
    <row r="621" spans="4:17" x14ac:dyDescent="0.25"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</row>
    <row r="622" spans="4:17" x14ac:dyDescent="0.25"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</row>
    <row r="623" spans="4:17" x14ac:dyDescent="0.25"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</row>
    <row r="624" spans="4:17" x14ac:dyDescent="0.25"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</row>
    <row r="625" spans="4:17" x14ac:dyDescent="0.25"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</row>
    <row r="626" spans="4:17" x14ac:dyDescent="0.25"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</row>
    <row r="627" spans="4:17" x14ac:dyDescent="0.25"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</row>
    <row r="628" spans="4:17" x14ac:dyDescent="0.25"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</row>
    <row r="629" spans="4:17" x14ac:dyDescent="0.25"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</row>
    <row r="630" spans="4:17" x14ac:dyDescent="0.25"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</row>
    <row r="631" spans="4:17" x14ac:dyDescent="0.25"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</row>
    <row r="632" spans="4:17" x14ac:dyDescent="0.25"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</row>
    <row r="633" spans="4:17" x14ac:dyDescent="0.25"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</row>
    <row r="634" spans="4:17" x14ac:dyDescent="0.25"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</row>
    <row r="635" spans="4:17" x14ac:dyDescent="0.25"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</row>
    <row r="636" spans="4:17" x14ac:dyDescent="0.25"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</row>
    <row r="637" spans="4:17" x14ac:dyDescent="0.25"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</row>
    <row r="638" spans="4:17" x14ac:dyDescent="0.25"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</row>
    <row r="639" spans="4:17" x14ac:dyDescent="0.25"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</row>
    <row r="640" spans="4:17" x14ac:dyDescent="0.25"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</row>
    <row r="641" spans="4:17" x14ac:dyDescent="0.25"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</row>
    <row r="642" spans="4:17" x14ac:dyDescent="0.25"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</row>
    <row r="643" spans="4:17" x14ac:dyDescent="0.25"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</row>
    <row r="644" spans="4:17" x14ac:dyDescent="0.25"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</row>
    <row r="645" spans="4:17" x14ac:dyDescent="0.25"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</row>
    <row r="646" spans="4:17" x14ac:dyDescent="0.25"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</row>
    <row r="647" spans="4:17" x14ac:dyDescent="0.25"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</row>
    <row r="648" spans="4:17" x14ac:dyDescent="0.25"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</row>
    <row r="649" spans="4:17" x14ac:dyDescent="0.25"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</row>
    <row r="650" spans="4:17" x14ac:dyDescent="0.25"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</row>
    <row r="651" spans="4:17" x14ac:dyDescent="0.25"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</row>
    <row r="652" spans="4:17" x14ac:dyDescent="0.25"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</row>
    <row r="653" spans="4:17" x14ac:dyDescent="0.25"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</row>
    <row r="654" spans="4:17" x14ac:dyDescent="0.25"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</row>
    <row r="655" spans="4:17" x14ac:dyDescent="0.25"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</row>
    <row r="656" spans="4:17" x14ac:dyDescent="0.25"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</row>
    <row r="657" spans="4:17" x14ac:dyDescent="0.25"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</row>
    <row r="658" spans="4:17" x14ac:dyDescent="0.25"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</row>
    <row r="659" spans="4:17" x14ac:dyDescent="0.25"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</row>
    <row r="660" spans="4:17" x14ac:dyDescent="0.25"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</row>
    <row r="661" spans="4:17" x14ac:dyDescent="0.25"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</row>
    <row r="662" spans="4:17" x14ac:dyDescent="0.25"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</row>
    <row r="663" spans="4:17" x14ac:dyDescent="0.25"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</row>
    <row r="664" spans="4:17" x14ac:dyDescent="0.25"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</row>
    <row r="665" spans="4:17" x14ac:dyDescent="0.25"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</row>
    <row r="666" spans="4:17" x14ac:dyDescent="0.25"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</row>
    <row r="667" spans="4:17" x14ac:dyDescent="0.25"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</row>
    <row r="668" spans="4:17" x14ac:dyDescent="0.25"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</row>
    <row r="669" spans="4:17" x14ac:dyDescent="0.25"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</row>
    <row r="670" spans="4:17" x14ac:dyDescent="0.25"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</row>
    <row r="671" spans="4:17" x14ac:dyDescent="0.25"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</row>
    <row r="672" spans="4:17" x14ac:dyDescent="0.25"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</row>
    <row r="673" spans="4:17" x14ac:dyDescent="0.25"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</row>
    <row r="674" spans="4:17" x14ac:dyDescent="0.25"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</row>
    <row r="675" spans="4:17" x14ac:dyDescent="0.25"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</row>
    <row r="676" spans="4:17" x14ac:dyDescent="0.25"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</row>
    <row r="677" spans="4:17" x14ac:dyDescent="0.25"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</row>
    <row r="678" spans="4:17" x14ac:dyDescent="0.25"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</row>
    <row r="679" spans="4:17" x14ac:dyDescent="0.25"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</row>
    <row r="680" spans="4:17" x14ac:dyDescent="0.25"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</row>
    <row r="681" spans="4:17" x14ac:dyDescent="0.25"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</row>
    <row r="682" spans="4:17" x14ac:dyDescent="0.25"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</row>
    <row r="683" spans="4:17" x14ac:dyDescent="0.25"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</row>
    <row r="684" spans="4:17" x14ac:dyDescent="0.25"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</row>
    <row r="685" spans="4:17" x14ac:dyDescent="0.25"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</row>
    <row r="686" spans="4:17" x14ac:dyDescent="0.25"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</row>
    <row r="687" spans="4:17" x14ac:dyDescent="0.25"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</row>
    <row r="688" spans="4:17" x14ac:dyDescent="0.25"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</row>
    <row r="689" spans="4:17" x14ac:dyDescent="0.25"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</row>
    <row r="690" spans="4:17" x14ac:dyDescent="0.25"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</row>
    <row r="691" spans="4:17" x14ac:dyDescent="0.25"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</row>
    <row r="692" spans="4:17" x14ac:dyDescent="0.25"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</row>
    <row r="693" spans="4:17" x14ac:dyDescent="0.25"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</row>
    <row r="694" spans="4:17" x14ac:dyDescent="0.25"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</row>
    <row r="695" spans="4:17" x14ac:dyDescent="0.25"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</row>
    <row r="696" spans="4:17" x14ac:dyDescent="0.25"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</row>
    <row r="697" spans="4:17" x14ac:dyDescent="0.25"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</row>
    <row r="698" spans="4:17" x14ac:dyDescent="0.25"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</row>
    <row r="699" spans="4:17" x14ac:dyDescent="0.25"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</row>
    <row r="700" spans="4:17" x14ac:dyDescent="0.25"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</row>
    <row r="701" spans="4:17" x14ac:dyDescent="0.25"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</row>
    <row r="702" spans="4:17" x14ac:dyDescent="0.25"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</row>
    <row r="703" spans="4:17" x14ac:dyDescent="0.25"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</row>
    <row r="704" spans="4:17" x14ac:dyDescent="0.25"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</row>
    <row r="705" spans="4:17" x14ac:dyDescent="0.25"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</row>
    <row r="706" spans="4:17" x14ac:dyDescent="0.25"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</row>
    <row r="707" spans="4:17" x14ac:dyDescent="0.25"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</row>
    <row r="708" spans="4:17" x14ac:dyDescent="0.25"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</row>
    <row r="709" spans="4:17" x14ac:dyDescent="0.25"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</row>
    <row r="710" spans="4:17" x14ac:dyDescent="0.25"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</row>
    <row r="711" spans="4:17" x14ac:dyDescent="0.25"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</row>
    <row r="712" spans="4:17" x14ac:dyDescent="0.25"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</row>
    <row r="713" spans="4:17" x14ac:dyDescent="0.25"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</row>
    <row r="714" spans="4:17" x14ac:dyDescent="0.25"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</row>
    <row r="715" spans="4:17" x14ac:dyDescent="0.25"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</row>
    <row r="716" spans="4:17" x14ac:dyDescent="0.25"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</row>
    <row r="717" spans="4:17" x14ac:dyDescent="0.25"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</row>
    <row r="718" spans="4:17" x14ac:dyDescent="0.25"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</row>
    <row r="719" spans="4:17" x14ac:dyDescent="0.25"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</row>
    <row r="720" spans="4:17" x14ac:dyDescent="0.25"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</row>
    <row r="721" spans="4:17" x14ac:dyDescent="0.25"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</row>
    <row r="722" spans="4:17" x14ac:dyDescent="0.25"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</row>
    <row r="723" spans="4:17" x14ac:dyDescent="0.25"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</row>
    <row r="724" spans="4:17" x14ac:dyDescent="0.25"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</row>
    <row r="725" spans="4:17" x14ac:dyDescent="0.25"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</row>
    <row r="726" spans="4:17" x14ac:dyDescent="0.25"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</row>
    <row r="727" spans="4:17" x14ac:dyDescent="0.25"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</row>
    <row r="728" spans="4:17" x14ac:dyDescent="0.25"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</row>
    <row r="729" spans="4:17" x14ac:dyDescent="0.25"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</row>
    <row r="730" spans="4:17" x14ac:dyDescent="0.25"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</row>
    <row r="731" spans="4:17" x14ac:dyDescent="0.25"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</row>
    <row r="732" spans="4:17" x14ac:dyDescent="0.25"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</row>
    <row r="733" spans="4:17" x14ac:dyDescent="0.25"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</row>
    <row r="734" spans="4:17" x14ac:dyDescent="0.25"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</row>
    <row r="735" spans="4:17" x14ac:dyDescent="0.25"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</row>
    <row r="736" spans="4:17" x14ac:dyDescent="0.25"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</row>
    <row r="737" spans="4:17" x14ac:dyDescent="0.25"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</row>
    <row r="738" spans="4:17" x14ac:dyDescent="0.25"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</row>
    <row r="739" spans="4:17" x14ac:dyDescent="0.25"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</row>
    <row r="740" spans="4:17" x14ac:dyDescent="0.25"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</row>
    <row r="741" spans="4:17" x14ac:dyDescent="0.25"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</row>
    <row r="742" spans="4:17" x14ac:dyDescent="0.25"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</row>
    <row r="743" spans="4:17" x14ac:dyDescent="0.25"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</row>
    <row r="744" spans="4:17" x14ac:dyDescent="0.25"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</row>
    <row r="745" spans="4:17" x14ac:dyDescent="0.25"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</row>
    <row r="746" spans="4:17" x14ac:dyDescent="0.25"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</row>
    <row r="747" spans="4:17" x14ac:dyDescent="0.25"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</row>
    <row r="748" spans="4:17" x14ac:dyDescent="0.25"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</row>
    <row r="749" spans="4:17" x14ac:dyDescent="0.25"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</row>
    <row r="750" spans="4:17" x14ac:dyDescent="0.25"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</row>
    <row r="751" spans="4:17" x14ac:dyDescent="0.25"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</row>
    <row r="752" spans="4:17" x14ac:dyDescent="0.25"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</row>
    <row r="753" spans="4:17" x14ac:dyDescent="0.25"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</row>
    <row r="754" spans="4:17" x14ac:dyDescent="0.25"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</row>
    <row r="755" spans="4:17" x14ac:dyDescent="0.25"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</row>
    <row r="756" spans="4:17" x14ac:dyDescent="0.25"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</row>
    <row r="757" spans="4:17" x14ac:dyDescent="0.25"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</row>
    <row r="758" spans="4:17" x14ac:dyDescent="0.25"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</row>
    <row r="759" spans="4:17" x14ac:dyDescent="0.25"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</row>
    <row r="760" spans="4:17" x14ac:dyDescent="0.25"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</row>
    <row r="761" spans="4:17" x14ac:dyDescent="0.25"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</row>
    <row r="762" spans="4:17" x14ac:dyDescent="0.25"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</row>
    <row r="763" spans="4:17" x14ac:dyDescent="0.25"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</row>
    <row r="764" spans="4:17" x14ac:dyDescent="0.25"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</row>
    <row r="765" spans="4:17" x14ac:dyDescent="0.25"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</row>
    <row r="766" spans="4:17" x14ac:dyDescent="0.25"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</row>
    <row r="767" spans="4:17" x14ac:dyDescent="0.25"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</row>
    <row r="768" spans="4:17" x14ac:dyDescent="0.25"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</row>
    <row r="769" spans="4:17" x14ac:dyDescent="0.25"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</row>
    <row r="770" spans="4:17" x14ac:dyDescent="0.25"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</row>
    <row r="771" spans="4:17" x14ac:dyDescent="0.25"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</row>
    <row r="772" spans="4:17" x14ac:dyDescent="0.25"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</row>
    <row r="773" spans="4:17" x14ac:dyDescent="0.25"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</row>
    <row r="774" spans="4:17" x14ac:dyDescent="0.25"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</row>
    <row r="775" spans="4:17" x14ac:dyDescent="0.25"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</row>
    <row r="776" spans="4:17" x14ac:dyDescent="0.25"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</row>
    <row r="777" spans="4:17" x14ac:dyDescent="0.25"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</row>
    <row r="778" spans="4:17" x14ac:dyDescent="0.25"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</row>
    <row r="779" spans="4:17" x14ac:dyDescent="0.25"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</row>
    <row r="780" spans="4:17" x14ac:dyDescent="0.25"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</row>
    <row r="781" spans="4:17" x14ac:dyDescent="0.25"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</row>
    <row r="782" spans="4:17" x14ac:dyDescent="0.25"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</row>
    <row r="783" spans="4:17" x14ac:dyDescent="0.25"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</row>
    <row r="784" spans="4:17" x14ac:dyDescent="0.25"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</row>
    <row r="785" spans="4:17" x14ac:dyDescent="0.25"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</row>
    <row r="786" spans="4:17" x14ac:dyDescent="0.25"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</row>
    <row r="787" spans="4:17" x14ac:dyDescent="0.25"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</row>
    <row r="788" spans="4:17" x14ac:dyDescent="0.25"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</row>
    <row r="789" spans="4:17" x14ac:dyDescent="0.25"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</row>
    <row r="790" spans="4:17" x14ac:dyDescent="0.25"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</row>
    <row r="791" spans="4:17" x14ac:dyDescent="0.25"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</row>
    <row r="792" spans="4:17" x14ac:dyDescent="0.25"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</row>
    <row r="793" spans="4:17" x14ac:dyDescent="0.25"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</row>
    <row r="794" spans="4:17" x14ac:dyDescent="0.25"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</row>
    <row r="795" spans="4:17" x14ac:dyDescent="0.25"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</row>
    <row r="796" spans="4:17" x14ac:dyDescent="0.25"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</row>
    <row r="797" spans="4:17" x14ac:dyDescent="0.25"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</row>
    <row r="798" spans="4:17" x14ac:dyDescent="0.25"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</row>
    <row r="799" spans="4:17" x14ac:dyDescent="0.25"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</row>
    <row r="800" spans="4:17" x14ac:dyDescent="0.25"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</row>
    <row r="801" spans="4:17" x14ac:dyDescent="0.25"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</row>
    <row r="802" spans="4:17" x14ac:dyDescent="0.25"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</row>
    <row r="803" spans="4:17" x14ac:dyDescent="0.25"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</row>
    <row r="804" spans="4:17" x14ac:dyDescent="0.25"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</row>
    <row r="805" spans="4:17" x14ac:dyDescent="0.25"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</row>
    <row r="806" spans="4:17" x14ac:dyDescent="0.25"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</row>
    <row r="807" spans="4:17" x14ac:dyDescent="0.25"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</row>
    <row r="808" spans="4:17" x14ac:dyDescent="0.25"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</row>
    <row r="809" spans="4:17" x14ac:dyDescent="0.25"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</row>
    <row r="810" spans="4:17" x14ac:dyDescent="0.25"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</row>
    <row r="811" spans="4:17" x14ac:dyDescent="0.25"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</row>
    <row r="812" spans="4:17" x14ac:dyDescent="0.25"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</row>
    <row r="813" spans="4:17" x14ac:dyDescent="0.25"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</row>
    <row r="814" spans="4:17" x14ac:dyDescent="0.25"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</row>
    <row r="815" spans="4:17" x14ac:dyDescent="0.25"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</row>
    <row r="816" spans="4:17" x14ac:dyDescent="0.25"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</row>
    <row r="817" spans="4:17" x14ac:dyDescent="0.25"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</row>
    <row r="818" spans="4:17" x14ac:dyDescent="0.25"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</row>
    <row r="819" spans="4:17" x14ac:dyDescent="0.25"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</row>
    <row r="820" spans="4:17" x14ac:dyDescent="0.25"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</row>
    <row r="821" spans="4:17" x14ac:dyDescent="0.25"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</row>
    <row r="822" spans="4:17" x14ac:dyDescent="0.25"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</row>
    <row r="823" spans="4:17" x14ac:dyDescent="0.25"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</row>
    <row r="824" spans="4:17" x14ac:dyDescent="0.25"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</row>
    <row r="825" spans="4:17" x14ac:dyDescent="0.25"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</row>
    <row r="826" spans="4:17" x14ac:dyDescent="0.25"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</row>
    <row r="827" spans="4:17" x14ac:dyDescent="0.25"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</row>
    <row r="828" spans="4:17" x14ac:dyDescent="0.25"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</row>
    <row r="829" spans="4:17" x14ac:dyDescent="0.25"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</row>
    <row r="830" spans="4:17" x14ac:dyDescent="0.25"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</row>
    <row r="831" spans="4:17" x14ac:dyDescent="0.25"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</row>
    <row r="832" spans="4:17" x14ac:dyDescent="0.25"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</row>
    <row r="833" spans="4:17" x14ac:dyDescent="0.25"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</row>
    <row r="834" spans="4:17" x14ac:dyDescent="0.25"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</row>
    <row r="835" spans="4:17" x14ac:dyDescent="0.25"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</row>
    <row r="836" spans="4:17" x14ac:dyDescent="0.25"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</row>
    <row r="837" spans="4:17" x14ac:dyDescent="0.25"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</row>
    <row r="838" spans="4:17" x14ac:dyDescent="0.25"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</row>
    <row r="839" spans="4:17" x14ac:dyDescent="0.25"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</row>
    <row r="840" spans="4:17" x14ac:dyDescent="0.25"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</row>
    <row r="841" spans="4:17" x14ac:dyDescent="0.25"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</row>
    <row r="842" spans="4:17" x14ac:dyDescent="0.25"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</row>
    <row r="843" spans="4:17" x14ac:dyDescent="0.25"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</row>
    <row r="844" spans="4:17" x14ac:dyDescent="0.25"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</row>
    <row r="845" spans="4:17" x14ac:dyDescent="0.25"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</row>
    <row r="846" spans="4:17" x14ac:dyDescent="0.25"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</row>
    <row r="847" spans="4:17" x14ac:dyDescent="0.25"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</row>
    <row r="848" spans="4:17" x14ac:dyDescent="0.25"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</row>
    <row r="849" spans="4:17" x14ac:dyDescent="0.25"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</row>
    <row r="850" spans="4:17" x14ac:dyDescent="0.25"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</row>
    <row r="851" spans="4:17" x14ac:dyDescent="0.25"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</row>
    <row r="852" spans="4:17" x14ac:dyDescent="0.25"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</row>
    <row r="853" spans="4:17" x14ac:dyDescent="0.25"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</row>
    <row r="854" spans="4:17" x14ac:dyDescent="0.25"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</row>
    <row r="855" spans="4:17" x14ac:dyDescent="0.25"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</row>
    <row r="856" spans="4:17" x14ac:dyDescent="0.25"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</row>
    <row r="857" spans="4:17" x14ac:dyDescent="0.25"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</row>
    <row r="858" spans="4:17" x14ac:dyDescent="0.25"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</row>
    <row r="859" spans="4:17" x14ac:dyDescent="0.25"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</row>
    <row r="860" spans="4:17" x14ac:dyDescent="0.25"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</row>
    <row r="861" spans="4:17" x14ac:dyDescent="0.25"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</row>
    <row r="862" spans="4:17" x14ac:dyDescent="0.25"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</row>
    <row r="863" spans="4:17" x14ac:dyDescent="0.25"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</row>
    <row r="864" spans="4:17" x14ac:dyDescent="0.25"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</row>
    <row r="865" spans="4:17" x14ac:dyDescent="0.25"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</row>
    <row r="866" spans="4:17" x14ac:dyDescent="0.25"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</row>
    <row r="867" spans="4:17" x14ac:dyDescent="0.25"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</row>
    <row r="868" spans="4:17" x14ac:dyDescent="0.25"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</row>
    <row r="869" spans="4:17" x14ac:dyDescent="0.25"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</row>
  </sheetData>
  <autoFilter ref="A7:Q188"/>
  <mergeCells count="5">
    <mergeCell ref="Q6:Q7"/>
    <mergeCell ref="D6:P6"/>
    <mergeCell ref="A2:Q2"/>
    <mergeCell ref="A3:Q3"/>
    <mergeCell ref="A4:Q4"/>
  </mergeCells>
  <conditionalFormatting sqref="A189:R1048576">
    <cfRule type="expression" dxfId="1" priority="1">
      <formula>$A189&lt;&gt;""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80" fitToHeight="6" orientation="landscape" r:id="rId1"/>
  <ignoredErrors>
    <ignoredError sqref="U12:U13 U15 U14 U17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H26"/>
  <sheetViews>
    <sheetView showGridLines="0" showRowColHeaders="0" zoomScale="86" zoomScaleNormal="86" workbookViewId="0">
      <selection activeCell="F18" sqref="F18"/>
    </sheetView>
  </sheetViews>
  <sheetFormatPr defaultRowHeight="15" x14ac:dyDescent="0.25"/>
  <cols>
    <col min="8" max="8" width="9.140625" customWidth="1"/>
    <col min="12" max="12" width="0" hidden="1" customWidth="1"/>
  </cols>
  <sheetData>
    <row r="2" spans="1:8" ht="12.75" customHeight="1" thickBot="1" x14ac:dyDescent="0.3"/>
    <row r="3" spans="1:8" ht="36.75" customHeight="1" x14ac:dyDescent="0.5">
      <c r="B3" s="106"/>
      <c r="C3" s="169" t="s">
        <v>254</v>
      </c>
      <c r="D3" s="170"/>
      <c r="E3" s="170"/>
      <c r="F3" s="170"/>
      <c r="G3" s="170"/>
      <c r="H3" s="107"/>
    </row>
    <row r="4" spans="1:8" ht="2.25" customHeight="1" x14ac:dyDescent="0.25">
      <c r="B4" s="80"/>
      <c r="C4" s="81"/>
      <c r="D4" s="81"/>
      <c r="E4" s="81"/>
      <c r="F4" s="81"/>
      <c r="G4" s="81"/>
      <c r="H4" s="82"/>
    </row>
    <row r="5" spans="1:8" x14ac:dyDescent="0.25">
      <c r="B5" s="80"/>
      <c r="C5" s="81"/>
      <c r="D5" s="81"/>
      <c r="E5" s="81"/>
      <c r="F5" s="81"/>
      <c r="G5" s="81"/>
      <c r="H5" s="82"/>
    </row>
    <row r="6" spans="1:8" x14ac:dyDescent="0.25">
      <c r="B6" s="80"/>
      <c r="C6" s="81"/>
      <c r="D6" s="81"/>
      <c r="E6" s="81"/>
      <c r="F6" s="81"/>
      <c r="G6" s="81"/>
      <c r="H6" s="82"/>
    </row>
    <row r="7" spans="1:8" ht="30.75" customHeight="1" x14ac:dyDescent="0.25">
      <c r="B7" s="80"/>
      <c r="C7" s="81"/>
      <c r="D7" s="81"/>
      <c r="E7" s="81"/>
      <c r="F7" s="81"/>
      <c r="G7" s="81"/>
      <c r="H7" s="82"/>
    </row>
    <row r="8" spans="1:8" ht="4.5" customHeight="1" x14ac:dyDescent="0.25">
      <c r="B8" s="103"/>
      <c r="C8" s="104"/>
      <c r="D8" s="104"/>
      <c r="E8" s="104"/>
      <c r="F8" s="104"/>
      <c r="G8" s="104"/>
      <c r="H8" s="105"/>
    </row>
    <row r="9" spans="1:8" ht="15" customHeight="1" x14ac:dyDescent="0.25">
      <c r="B9" s="96"/>
      <c r="C9" s="12"/>
      <c r="D9" s="12"/>
      <c r="E9" s="12"/>
      <c r="F9" s="12"/>
      <c r="G9" s="12"/>
      <c r="H9" s="97"/>
    </row>
    <row r="10" spans="1:8" ht="15" customHeight="1" x14ac:dyDescent="0.25">
      <c r="B10" s="96"/>
      <c r="C10" s="12"/>
      <c r="D10" s="12"/>
      <c r="E10" s="12"/>
      <c r="F10" s="12"/>
      <c r="G10" s="12"/>
      <c r="H10" s="97"/>
    </row>
    <row r="11" spans="1:8" x14ac:dyDescent="0.25">
      <c r="A11" s="92"/>
      <c r="B11" s="86"/>
      <c r="C11" s="87"/>
      <c r="D11" s="87"/>
      <c r="E11" s="87"/>
      <c r="F11" s="87"/>
      <c r="G11" s="87"/>
      <c r="H11" s="88"/>
    </row>
    <row r="12" spans="1:8" x14ac:dyDescent="0.25">
      <c r="B12" s="89"/>
      <c r="C12" s="90"/>
      <c r="D12" s="90"/>
      <c r="E12" s="90"/>
      <c r="F12" s="90"/>
      <c r="G12" s="90"/>
      <c r="H12" s="91"/>
    </row>
    <row r="13" spans="1:8" x14ac:dyDescent="0.25">
      <c r="B13" s="86"/>
      <c r="C13" s="87"/>
      <c r="D13" s="87"/>
      <c r="E13" s="87"/>
      <c r="F13" s="87"/>
      <c r="G13" s="87"/>
      <c r="H13" s="88"/>
    </row>
    <row r="14" spans="1:8" x14ac:dyDescent="0.25">
      <c r="B14" s="89"/>
      <c r="C14" s="90"/>
      <c r="D14" s="90"/>
      <c r="E14" s="90"/>
      <c r="F14" s="90"/>
      <c r="G14" s="90"/>
      <c r="H14" s="91"/>
    </row>
    <row r="15" spans="1:8" x14ac:dyDescent="0.25">
      <c r="B15" s="86"/>
      <c r="C15" s="87"/>
      <c r="D15" s="87"/>
      <c r="E15" s="87"/>
      <c r="F15" s="87"/>
      <c r="G15" s="87"/>
      <c r="H15" s="88"/>
    </row>
    <row r="16" spans="1:8" x14ac:dyDescent="0.25">
      <c r="B16" s="89"/>
      <c r="C16" s="90"/>
      <c r="D16" s="90"/>
      <c r="E16" s="90"/>
      <c r="F16" s="90"/>
      <c r="G16" s="90"/>
      <c r="H16" s="91"/>
    </row>
    <row r="17" spans="2:8" x14ac:dyDescent="0.25">
      <c r="B17" s="86"/>
      <c r="C17" s="87"/>
      <c r="D17" s="87"/>
      <c r="E17" s="87"/>
      <c r="F17" s="87"/>
      <c r="G17" s="87"/>
      <c r="H17" s="88"/>
    </row>
    <row r="18" spans="2:8" x14ac:dyDescent="0.25">
      <c r="B18" s="89"/>
      <c r="C18" s="90"/>
      <c r="D18" s="90"/>
      <c r="E18" s="90"/>
      <c r="F18" s="90"/>
      <c r="G18" s="90"/>
      <c r="H18" s="91"/>
    </row>
    <row r="19" spans="2:8" x14ac:dyDescent="0.25">
      <c r="B19" s="86"/>
      <c r="C19" s="87"/>
      <c r="D19" s="87"/>
      <c r="E19" s="87"/>
      <c r="F19" s="87"/>
      <c r="G19" s="87"/>
      <c r="H19" s="88"/>
    </row>
    <row r="20" spans="2:8" x14ac:dyDescent="0.25">
      <c r="B20" s="89"/>
      <c r="C20" s="90"/>
      <c r="D20" s="90"/>
      <c r="E20" s="90"/>
      <c r="F20" s="90"/>
      <c r="G20" s="90"/>
      <c r="H20" s="91"/>
    </row>
    <row r="21" spans="2:8" x14ac:dyDescent="0.25">
      <c r="B21" s="86"/>
      <c r="C21" s="87"/>
      <c r="D21" s="87"/>
      <c r="E21" s="87"/>
      <c r="F21" s="87"/>
      <c r="G21" s="87"/>
      <c r="H21" s="88"/>
    </row>
    <row r="22" spans="2:8" x14ac:dyDescent="0.25">
      <c r="B22" s="89"/>
      <c r="C22" s="90"/>
      <c r="D22" s="90"/>
      <c r="E22" s="90"/>
      <c r="F22" s="90"/>
      <c r="G22" s="90"/>
      <c r="H22" s="91"/>
    </row>
    <row r="23" spans="2:8" x14ac:dyDescent="0.25">
      <c r="B23" s="171" t="s">
        <v>263</v>
      </c>
      <c r="C23" s="172"/>
      <c r="D23" s="172"/>
      <c r="E23" s="172"/>
      <c r="F23" s="172"/>
      <c r="G23" s="172"/>
      <c r="H23" s="173"/>
    </row>
    <row r="24" spans="2:8" x14ac:dyDescent="0.25">
      <c r="B24" s="89"/>
      <c r="C24" s="90"/>
      <c r="D24" s="90"/>
      <c r="E24" s="90"/>
      <c r="F24" s="90"/>
      <c r="G24" s="90"/>
      <c r="H24" s="91"/>
    </row>
    <row r="25" spans="2:8" x14ac:dyDescent="0.25">
      <c r="B25" s="86"/>
      <c r="C25" s="87"/>
      <c r="D25" s="87"/>
      <c r="E25" s="87"/>
      <c r="F25" s="87"/>
      <c r="G25" s="87"/>
      <c r="H25" s="88"/>
    </row>
    <row r="26" spans="2:8" ht="15.75" thickBot="1" x14ac:dyDescent="0.3">
      <c r="B26" s="93"/>
      <c r="C26" s="94"/>
      <c r="D26" s="94"/>
      <c r="E26" s="94"/>
      <c r="F26" s="94"/>
      <c r="G26" s="94"/>
      <c r="H26" s="95"/>
    </row>
  </sheetData>
  <mergeCells count="2">
    <mergeCell ref="C3:G3"/>
    <mergeCell ref="B23:H23"/>
  </mergeCells>
  <conditionalFormatting sqref="B11:H25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9" r:id="rId4" name="Tcari">
          <controlPr defaultSize="0" autoLine="0" r:id="rId5">
            <anchor moveWithCells="1">
              <from>
                <xdr:col>10</xdr:col>
                <xdr:colOff>85725</xdr:colOff>
                <xdr:row>2</xdr:row>
                <xdr:rowOff>28575</xdr:rowOff>
              </from>
              <to>
                <xdr:col>13</xdr:col>
                <xdr:colOff>19050</xdr:colOff>
                <xdr:row>2</xdr:row>
                <xdr:rowOff>323850</xdr:rowOff>
              </to>
            </anchor>
          </controlPr>
        </control>
      </mc:Choice>
      <mc:Fallback>
        <control shapeId="3109" r:id="rId4" name="Tcari"/>
      </mc:Fallback>
    </mc:AlternateContent>
    <mc:AlternateContent xmlns:mc="http://schemas.openxmlformats.org/markup-compatibility/2006">
      <mc:Choice Requires="x14">
        <control shapeId="3073" r:id="rId6" name="Label1">
          <controlPr autoLine="0" r:id="rId7">
            <anchor moveWithCells="1">
              <from>
                <xdr:col>1</xdr:col>
                <xdr:colOff>276225</xdr:colOff>
                <xdr:row>4</xdr:row>
                <xdr:rowOff>85725</xdr:rowOff>
              </from>
              <to>
                <xdr:col>2</xdr:col>
                <xdr:colOff>581025</xdr:colOff>
                <xdr:row>5</xdr:row>
                <xdr:rowOff>123825</xdr:rowOff>
              </to>
            </anchor>
          </controlPr>
        </control>
      </mc:Choice>
      <mc:Fallback>
        <control shapeId="3073" r:id="rId6" name="Label1"/>
      </mc:Fallback>
    </mc:AlternateContent>
    <mc:AlternateContent xmlns:mc="http://schemas.openxmlformats.org/markup-compatibility/2006">
      <mc:Choice Requires="x14">
        <control shapeId="3074" r:id="rId8" name="Label2">
          <controlPr autoLine="0" r:id="rId9">
            <anchor moveWithCells="1">
              <from>
                <xdr:col>1</xdr:col>
                <xdr:colOff>276225</xdr:colOff>
                <xdr:row>5</xdr:row>
                <xdr:rowOff>123825</xdr:rowOff>
              </from>
              <to>
                <xdr:col>2</xdr:col>
                <xdr:colOff>581025</xdr:colOff>
                <xdr:row>6</xdr:row>
                <xdr:rowOff>161925</xdr:rowOff>
              </to>
            </anchor>
          </controlPr>
        </control>
      </mc:Choice>
      <mc:Fallback>
        <control shapeId="3074" r:id="rId8" name="Label2"/>
      </mc:Fallback>
    </mc:AlternateContent>
    <mc:AlternateContent xmlns:mc="http://schemas.openxmlformats.org/markup-compatibility/2006">
      <mc:Choice Requires="x14">
        <control shapeId="3075" r:id="rId10" name="Label3">
          <controlPr autoLine="0" r:id="rId11">
            <anchor moveWithCells="1">
              <from>
                <xdr:col>1</xdr:col>
                <xdr:colOff>276225</xdr:colOff>
                <xdr:row>6</xdr:row>
                <xdr:rowOff>161925</xdr:rowOff>
              </from>
              <to>
                <xdr:col>2</xdr:col>
                <xdr:colOff>581025</xdr:colOff>
                <xdr:row>7</xdr:row>
                <xdr:rowOff>0</xdr:rowOff>
              </to>
            </anchor>
          </controlPr>
        </control>
      </mc:Choice>
      <mc:Fallback>
        <control shapeId="3075" r:id="rId10" name="Label3"/>
      </mc:Fallback>
    </mc:AlternateContent>
    <mc:AlternateContent xmlns:mc="http://schemas.openxmlformats.org/markup-compatibility/2006">
      <mc:Choice Requires="x14">
        <control shapeId="3076" r:id="rId12" name="Label4">
          <controlPr autoLine="0" r:id="rId13">
            <anchor moveWithCells="1">
              <from>
                <xdr:col>1</xdr:col>
                <xdr:colOff>247650</xdr:colOff>
                <xdr:row>11</xdr:row>
                <xdr:rowOff>0</xdr:rowOff>
              </from>
              <to>
                <xdr:col>2</xdr:col>
                <xdr:colOff>552450</xdr:colOff>
                <xdr:row>12</xdr:row>
                <xdr:rowOff>38100</xdr:rowOff>
              </to>
            </anchor>
          </controlPr>
        </control>
      </mc:Choice>
      <mc:Fallback>
        <control shapeId="3076" r:id="rId12" name="Label4"/>
      </mc:Fallback>
    </mc:AlternateContent>
    <mc:AlternateContent xmlns:mc="http://schemas.openxmlformats.org/markup-compatibility/2006">
      <mc:Choice Requires="x14">
        <control shapeId="3077" r:id="rId14" name="Label5">
          <controlPr autoLine="0" r:id="rId15">
            <anchor moveWithCells="1">
              <from>
                <xdr:col>1</xdr:col>
                <xdr:colOff>247650</xdr:colOff>
                <xdr:row>10</xdr:row>
                <xdr:rowOff>19050</xdr:rowOff>
              </from>
              <to>
                <xdr:col>2</xdr:col>
                <xdr:colOff>552450</xdr:colOff>
                <xdr:row>11</xdr:row>
                <xdr:rowOff>57150</xdr:rowOff>
              </to>
            </anchor>
          </controlPr>
        </control>
      </mc:Choice>
      <mc:Fallback>
        <control shapeId="3077" r:id="rId14" name="Label5"/>
      </mc:Fallback>
    </mc:AlternateContent>
    <mc:AlternateContent xmlns:mc="http://schemas.openxmlformats.org/markup-compatibility/2006">
      <mc:Choice Requires="x14">
        <control shapeId="3078" r:id="rId16" name="TNISN">
          <controlPr autoLine="0" r:id="rId17">
            <anchor moveWithCells="1">
              <from>
                <xdr:col>2</xdr:col>
                <xdr:colOff>238125</xdr:colOff>
                <xdr:row>4</xdr:row>
                <xdr:rowOff>76200</xdr:rowOff>
              </from>
              <to>
                <xdr:col>5</xdr:col>
                <xdr:colOff>590550</xdr:colOff>
                <xdr:row>5</xdr:row>
                <xdr:rowOff>114300</xdr:rowOff>
              </to>
            </anchor>
          </controlPr>
        </control>
      </mc:Choice>
      <mc:Fallback>
        <control shapeId="3078" r:id="rId16" name="TNISN"/>
      </mc:Fallback>
    </mc:AlternateContent>
    <mc:AlternateContent xmlns:mc="http://schemas.openxmlformats.org/markup-compatibility/2006">
      <mc:Choice Requires="x14">
        <control shapeId="3079" r:id="rId18" name="TNAMA">
          <controlPr autoLine="0" r:id="rId19">
            <anchor moveWithCells="1">
              <from>
                <xdr:col>2</xdr:col>
                <xdr:colOff>238125</xdr:colOff>
                <xdr:row>5</xdr:row>
                <xdr:rowOff>95250</xdr:rowOff>
              </from>
              <to>
                <xdr:col>5</xdr:col>
                <xdr:colOff>600075</xdr:colOff>
                <xdr:row>6</xdr:row>
                <xdr:rowOff>142875</xdr:rowOff>
              </to>
            </anchor>
          </controlPr>
        </control>
      </mc:Choice>
      <mc:Fallback>
        <control shapeId="3079" r:id="rId18" name="TNAMA"/>
      </mc:Fallback>
    </mc:AlternateContent>
    <mc:AlternateContent xmlns:mc="http://schemas.openxmlformats.org/markup-compatibility/2006">
      <mc:Choice Requires="x14">
        <control shapeId="3080" r:id="rId20" name="TKELAS">
          <controlPr autoLine="0" r:id="rId21">
            <anchor moveWithCells="1">
              <from>
                <xdr:col>2</xdr:col>
                <xdr:colOff>238125</xdr:colOff>
                <xdr:row>6</xdr:row>
                <xdr:rowOff>133350</xdr:rowOff>
              </from>
              <to>
                <xdr:col>3</xdr:col>
                <xdr:colOff>542925</xdr:colOff>
                <xdr:row>6</xdr:row>
                <xdr:rowOff>361950</xdr:rowOff>
              </to>
            </anchor>
          </controlPr>
        </control>
      </mc:Choice>
      <mc:Fallback>
        <control shapeId="3080" r:id="rId20" name="TKELAS"/>
      </mc:Fallback>
    </mc:AlternateContent>
    <mc:AlternateContent xmlns:mc="http://schemas.openxmlformats.org/markup-compatibility/2006">
      <mc:Choice Requires="x14">
        <control shapeId="3081" r:id="rId22" name="TPAI">
          <controlPr autoLine="0" r:id="rId23">
            <anchor moveWithCells="1">
              <from>
                <xdr:col>6</xdr:col>
                <xdr:colOff>295275</xdr:colOff>
                <xdr:row>10</xdr:row>
                <xdr:rowOff>0</xdr:rowOff>
              </from>
              <to>
                <xdr:col>7</xdr:col>
                <xdr:colOff>600075</xdr:colOff>
                <xdr:row>11</xdr:row>
                <xdr:rowOff>38100</xdr:rowOff>
              </to>
            </anchor>
          </controlPr>
        </control>
      </mc:Choice>
      <mc:Fallback>
        <control shapeId="3081" r:id="rId22" name="TPAI"/>
      </mc:Fallback>
    </mc:AlternateContent>
    <mc:AlternateContent xmlns:mc="http://schemas.openxmlformats.org/markup-compatibility/2006">
      <mc:Choice Requires="x14">
        <control shapeId="3082" r:id="rId24" name="TPKN">
          <controlPr autoLine="0" r:id="rId25">
            <anchor moveWithCells="1">
              <from>
                <xdr:col>6</xdr:col>
                <xdr:colOff>295275</xdr:colOff>
                <xdr:row>10</xdr:row>
                <xdr:rowOff>161925</xdr:rowOff>
              </from>
              <to>
                <xdr:col>7</xdr:col>
                <xdr:colOff>600075</xdr:colOff>
                <xdr:row>12</xdr:row>
                <xdr:rowOff>9525</xdr:rowOff>
              </to>
            </anchor>
          </controlPr>
        </control>
      </mc:Choice>
      <mc:Fallback>
        <control shapeId="3082" r:id="rId24" name="TPKN"/>
      </mc:Fallback>
    </mc:AlternateContent>
    <mc:AlternateContent xmlns:mc="http://schemas.openxmlformats.org/markup-compatibility/2006">
      <mc:Choice Requires="x14">
        <control shapeId="3083" r:id="rId26" name="CMD_CARI">
          <controlPr autoLine="0" r:id="rId27">
            <anchor moveWithCells="1">
              <from>
                <xdr:col>8</xdr:col>
                <xdr:colOff>361950</xdr:colOff>
                <xdr:row>2</xdr:row>
                <xdr:rowOff>9525</xdr:rowOff>
              </from>
              <to>
                <xdr:col>10</xdr:col>
                <xdr:colOff>57150</xdr:colOff>
                <xdr:row>2</xdr:row>
                <xdr:rowOff>314325</xdr:rowOff>
              </to>
            </anchor>
          </controlPr>
        </control>
      </mc:Choice>
      <mc:Fallback>
        <control shapeId="3083" r:id="rId26" name="CMD_CARI"/>
      </mc:Fallback>
    </mc:AlternateContent>
    <mc:AlternateContent xmlns:mc="http://schemas.openxmlformats.org/markup-compatibility/2006">
      <mc:Choice Requires="x14">
        <control shapeId="3084" r:id="rId28" name="Label6">
          <controlPr autoLine="0" r:id="rId29">
            <anchor moveWithCells="1">
              <from>
                <xdr:col>1</xdr:col>
                <xdr:colOff>247650</xdr:colOff>
                <xdr:row>12</xdr:row>
                <xdr:rowOff>9525</xdr:rowOff>
              </from>
              <to>
                <xdr:col>2</xdr:col>
                <xdr:colOff>552450</xdr:colOff>
                <xdr:row>13</xdr:row>
                <xdr:rowOff>47625</xdr:rowOff>
              </to>
            </anchor>
          </controlPr>
        </control>
      </mc:Choice>
      <mc:Fallback>
        <control shapeId="3084" r:id="rId28" name="Label6"/>
      </mc:Fallback>
    </mc:AlternateContent>
    <mc:AlternateContent xmlns:mc="http://schemas.openxmlformats.org/markup-compatibility/2006">
      <mc:Choice Requires="x14">
        <control shapeId="3085" r:id="rId30" name="Label7">
          <controlPr autoLine="0" r:id="rId31">
            <anchor moveWithCells="1">
              <from>
                <xdr:col>1</xdr:col>
                <xdr:colOff>238125</xdr:colOff>
                <xdr:row>13</xdr:row>
                <xdr:rowOff>180975</xdr:rowOff>
              </from>
              <to>
                <xdr:col>2</xdr:col>
                <xdr:colOff>542925</xdr:colOff>
                <xdr:row>15</xdr:row>
                <xdr:rowOff>28575</xdr:rowOff>
              </to>
            </anchor>
          </controlPr>
        </control>
      </mc:Choice>
      <mc:Fallback>
        <control shapeId="3085" r:id="rId30" name="Label7"/>
      </mc:Fallback>
    </mc:AlternateContent>
    <mc:AlternateContent xmlns:mc="http://schemas.openxmlformats.org/markup-compatibility/2006">
      <mc:Choice Requires="x14">
        <control shapeId="3086" r:id="rId32" name="Label8">
          <controlPr autoLine="0" r:id="rId33">
            <anchor moveWithCells="1">
              <from>
                <xdr:col>1</xdr:col>
                <xdr:colOff>247650</xdr:colOff>
                <xdr:row>16</xdr:row>
                <xdr:rowOff>0</xdr:rowOff>
              </from>
              <to>
                <xdr:col>2</xdr:col>
                <xdr:colOff>552450</xdr:colOff>
                <xdr:row>17</xdr:row>
                <xdr:rowOff>38100</xdr:rowOff>
              </to>
            </anchor>
          </controlPr>
        </control>
      </mc:Choice>
      <mc:Fallback>
        <control shapeId="3086" r:id="rId32" name="Label8"/>
      </mc:Fallback>
    </mc:AlternateContent>
    <mc:AlternateContent xmlns:mc="http://schemas.openxmlformats.org/markup-compatibility/2006">
      <mc:Choice Requires="x14">
        <control shapeId="3087" r:id="rId34" name="Label9">
          <controlPr autoLine="0" r:id="rId35">
            <anchor moveWithCells="1">
              <from>
                <xdr:col>1</xdr:col>
                <xdr:colOff>238125</xdr:colOff>
                <xdr:row>13</xdr:row>
                <xdr:rowOff>0</xdr:rowOff>
              </from>
              <to>
                <xdr:col>2</xdr:col>
                <xdr:colOff>542925</xdr:colOff>
                <xdr:row>14</xdr:row>
                <xdr:rowOff>38100</xdr:rowOff>
              </to>
            </anchor>
          </controlPr>
        </control>
      </mc:Choice>
      <mc:Fallback>
        <control shapeId="3087" r:id="rId34" name="Label9"/>
      </mc:Fallback>
    </mc:AlternateContent>
    <mc:AlternateContent xmlns:mc="http://schemas.openxmlformats.org/markup-compatibility/2006">
      <mc:Choice Requires="x14">
        <control shapeId="3088" r:id="rId36" name="Label10">
          <controlPr autoLine="0" r:id="rId37">
            <anchor moveWithCells="1">
              <from>
                <xdr:col>1</xdr:col>
                <xdr:colOff>238125</xdr:colOff>
                <xdr:row>15</xdr:row>
                <xdr:rowOff>9525</xdr:rowOff>
              </from>
              <to>
                <xdr:col>2</xdr:col>
                <xdr:colOff>542925</xdr:colOff>
                <xdr:row>16</xdr:row>
                <xdr:rowOff>47625</xdr:rowOff>
              </to>
            </anchor>
          </controlPr>
        </control>
      </mc:Choice>
      <mc:Fallback>
        <control shapeId="3088" r:id="rId36" name="Label10"/>
      </mc:Fallback>
    </mc:AlternateContent>
    <mc:AlternateContent xmlns:mc="http://schemas.openxmlformats.org/markup-compatibility/2006">
      <mc:Choice Requires="x14">
        <control shapeId="3089" r:id="rId38" name="Label11">
          <controlPr autoLine="0" r:id="rId39">
            <anchor moveWithCells="1">
              <from>
                <xdr:col>1</xdr:col>
                <xdr:colOff>247650</xdr:colOff>
                <xdr:row>17</xdr:row>
                <xdr:rowOff>0</xdr:rowOff>
              </from>
              <to>
                <xdr:col>2</xdr:col>
                <xdr:colOff>552450</xdr:colOff>
                <xdr:row>18</xdr:row>
                <xdr:rowOff>38100</xdr:rowOff>
              </to>
            </anchor>
          </controlPr>
        </control>
      </mc:Choice>
      <mc:Fallback>
        <control shapeId="3089" r:id="rId38" name="Label11"/>
      </mc:Fallback>
    </mc:AlternateContent>
    <mc:AlternateContent xmlns:mc="http://schemas.openxmlformats.org/markup-compatibility/2006">
      <mc:Choice Requires="x14">
        <control shapeId="3090" r:id="rId40" name="Label12">
          <controlPr autoLine="0" r:id="rId41">
            <anchor moveWithCells="1">
              <from>
                <xdr:col>1</xdr:col>
                <xdr:colOff>247650</xdr:colOff>
                <xdr:row>18</xdr:row>
                <xdr:rowOff>0</xdr:rowOff>
              </from>
              <to>
                <xdr:col>2</xdr:col>
                <xdr:colOff>552450</xdr:colOff>
                <xdr:row>19</xdr:row>
                <xdr:rowOff>38100</xdr:rowOff>
              </to>
            </anchor>
          </controlPr>
        </control>
      </mc:Choice>
      <mc:Fallback>
        <control shapeId="3090" r:id="rId40" name="Label12"/>
      </mc:Fallback>
    </mc:AlternateContent>
    <mc:AlternateContent xmlns:mc="http://schemas.openxmlformats.org/markup-compatibility/2006">
      <mc:Choice Requires="x14">
        <control shapeId="3091" r:id="rId42" name="Label13">
          <controlPr autoLine="0" r:id="rId43">
            <anchor moveWithCells="1">
              <from>
                <xdr:col>1</xdr:col>
                <xdr:colOff>247650</xdr:colOff>
                <xdr:row>19</xdr:row>
                <xdr:rowOff>9525</xdr:rowOff>
              </from>
              <to>
                <xdr:col>2</xdr:col>
                <xdr:colOff>552450</xdr:colOff>
                <xdr:row>20</xdr:row>
                <xdr:rowOff>47625</xdr:rowOff>
              </to>
            </anchor>
          </controlPr>
        </control>
      </mc:Choice>
      <mc:Fallback>
        <control shapeId="3091" r:id="rId42" name="Label13"/>
      </mc:Fallback>
    </mc:AlternateContent>
    <mc:AlternateContent xmlns:mc="http://schemas.openxmlformats.org/markup-compatibility/2006">
      <mc:Choice Requires="x14">
        <control shapeId="3092" r:id="rId44" name="Label14">
          <controlPr autoLine="0" r:id="rId45">
            <anchor moveWithCells="1">
              <from>
                <xdr:col>1</xdr:col>
                <xdr:colOff>247650</xdr:colOff>
                <xdr:row>20</xdr:row>
                <xdr:rowOff>9525</xdr:rowOff>
              </from>
              <to>
                <xdr:col>2</xdr:col>
                <xdr:colOff>552450</xdr:colOff>
                <xdr:row>21</xdr:row>
                <xdr:rowOff>47625</xdr:rowOff>
              </to>
            </anchor>
          </controlPr>
        </control>
      </mc:Choice>
      <mc:Fallback>
        <control shapeId="3092" r:id="rId44" name="Label14"/>
      </mc:Fallback>
    </mc:AlternateContent>
    <mc:AlternateContent xmlns:mc="http://schemas.openxmlformats.org/markup-compatibility/2006">
      <mc:Choice Requires="x14">
        <control shapeId="3093" r:id="rId46" name="Label15">
          <controlPr autoLine="0" r:id="rId47">
            <anchor moveWithCells="1">
              <from>
                <xdr:col>1</xdr:col>
                <xdr:colOff>238125</xdr:colOff>
                <xdr:row>21</xdr:row>
                <xdr:rowOff>0</xdr:rowOff>
              </from>
              <to>
                <xdr:col>2</xdr:col>
                <xdr:colOff>542925</xdr:colOff>
                <xdr:row>22</xdr:row>
                <xdr:rowOff>38100</xdr:rowOff>
              </to>
            </anchor>
          </controlPr>
        </control>
      </mc:Choice>
      <mc:Fallback>
        <control shapeId="3093" r:id="rId46" name="Label15"/>
      </mc:Fallback>
    </mc:AlternateContent>
    <mc:AlternateContent xmlns:mc="http://schemas.openxmlformats.org/markup-compatibility/2006">
      <mc:Choice Requires="x14">
        <control shapeId="3097" r:id="rId48" name="Label19">
          <controlPr autoLine="0" r:id="rId49">
            <anchor moveWithCells="1">
              <from>
                <xdr:col>1</xdr:col>
                <xdr:colOff>238125</xdr:colOff>
                <xdr:row>21</xdr:row>
                <xdr:rowOff>180975</xdr:rowOff>
              </from>
              <to>
                <xdr:col>4</xdr:col>
                <xdr:colOff>66675</xdr:colOff>
                <xdr:row>23</xdr:row>
                <xdr:rowOff>28575</xdr:rowOff>
              </to>
            </anchor>
          </controlPr>
        </control>
      </mc:Choice>
      <mc:Fallback>
        <control shapeId="3097" r:id="rId48" name="Label19"/>
      </mc:Fallback>
    </mc:AlternateContent>
    <mc:AlternateContent xmlns:mc="http://schemas.openxmlformats.org/markup-compatibility/2006">
      <mc:Choice Requires="x14">
        <control shapeId="3098" r:id="rId50" name="TBI">
          <controlPr autoLine="0" r:id="rId51">
            <anchor moveWithCells="1">
              <from>
                <xdr:col>6</xdr:col>
                <xdr:colOff>295275</xdr:colOff>
                <xdr:row>12</xdr:row>
                <xdr:rowOff>0</xdr:rowOff>
              </from>
              <to>
                <xdr:col>7</xdr:col>
                <xdr:colOff>600075</xdr:colOff>
                <xdr:row>13</xdr:row>
                <xdr:rowOff>38100</xdr:rowOff>
              </to>
            </anchor>
          </controlPr>
        </control>
      </mc:Choice>
      <mc:Fallback>
        <control shapeId="3098" r:id="rId50" name="TBI"/>
      </mc:Fallback>
    </mc:AlternateContent>
    <mc:AlternateContent xmlns:mc="http://schemas.openxmlformats.org/markup-compatibility/2006">
      <mc:Choice Requires="x14">
        <control shapeId="3099" r:id="rId52" name="TPENJAS">
          <controlPr autoLine="0" r:id="rId53">
            <anchor moveWithCells="1">
              <from>
                <xdr:col>6</xdr:col>
                <xdr:colOff>295275</xdr:colOff>
                <xdr:row>13</xdr:row>
                <xdr:rowOff>0</xdr:rowOff>
              </from>
              <to>
                <xdr:col>7</xdr:col>
                <xdr:colOff>600075</xdr:colOff>
                <xdr:row>14</xdr:row>
                <xdr:rowOff>38100</xdr:rowOff>
              </to>
            </anchor>
          </controlPr>
        </control>
      </mc:Choice>
      <mc:Fallback>
        <control shapeId="3099" r:id="rId52" name="TPENJAS"/>
      </mc:Fallback>
    </mc:AlternateContent>
    <mc:AlternateContent xmlns:mc="http://schemas.openxmlformats.org/markup-compatibility/2006">
      <mc:Choice Requires="x14">
        <control shapeId="3100" r:id="rId54" name="TINGGRIS">
          <controlPr autoLine="0" r:id="rId55">
            <anchor moveWithCells="1">
              <from>
                <xdr:col>6</xdr:col>
                <xdr:colOff>295275</xdr:colOff>
                <xdr:row>13</xdr:row>
                <xdr:rowOff>180975</xdr:rowOff>
              </from>
              <to>
                <xdr:col>7</xdr:col>
                <xdr:colOff>600075</xdr:colOff>
                <xdr:row>15</xdr:row>
                <xdr:rowOff>28575</xdr:rowOff>
              </to>
            </anchor>
          </controlPr>
        </control>
      </mc:Choice>
      <mc:Fallback>
        <control shapeId="3100" r:id="rId54" name="TINGGRIS"/>
      </mc:Fallback>
    </mc:AlternateContent>
    <mc:AlternateContent xmlns:mc="http://schemas.openxmlformats.org/markup-compatibility/2006">
      <mc:Choice Requires="x14">
        <control shapeId="3101" r:id="rId56" name="TMTK">
          <controlPr autoLine="0" r:id="rId57">
            <anchor moveWithCells="1">
              <from>
                <xdr:col>6</xdr:col>
                <xdr:colOff>295275</xdr:colOff>
                <xdr:row>15</xdr:row>
                <xdr:rowOff>0</xdr:rowOff>
              </from>
              <to>
                <xdr:col>7</xdr:col>
                <xdr:colOff>600075</xdr:colOff>
                <xdr:row>16</xdr:row>
                <xdr:rowOff>38100</xdr:rowOff>
              </to>
            </anchor>
          </controlPr>
        </control>
      </mc:Choice>
      <mc:Fallback>
        <control shapeId="3101" r:id="rId56" name="TMTK"/>
      </mc:Fallback>
    </mc:AlternateContent>
    <mc:AlternateContent xmlns:mc="http://schemas.openxmlformats.org/markup-compatibility/2006">
      <mc:Choice Requires="x14">
        <control shapeId="3102" r:id="rId58" name="TIPS">
          <controlPr autoLine="0" r:id="rId59">
            <anchor moveWithCells="1">
              <from>
                <xdr:col>6</xdr:col>
                <xdr:colOff>295275</xdr:colOff>
                <xdr:row>15</xdr:row>
                <xdr:rowOff>180975</xdr:rowOff>
              </from>
              <to>
                <xdr:col>7</xdr:col>
                <xdr:colOff>600075</xdr:colOff>
                <xdr:row>17</xdr:row>
                <xdr:rowOff>28575</xdr:rowOff>
              </to>
            </anchor>
          </controlPr>
        </control>
      </mc:Choice>
      <mc:Fallback>
        <control shapeId="3102" r:id="rId58" name="TIPS"/>
      </mc:Fallback>
    </mc:AlternateContent>
    <mc:AlternateContent xmlns:mc="http://schemas.openxmlformats.org/markup-compatibility/2006">
      <mc:Choice Requires="x14">
        <control shapeId="3103" r:id="rId60" name="TBD">
          <controlPr autoLine="0" r:id="rId61">
            <anchor moveWithCells="1">
              <from>
                <xdr:col>6</xdr:col>
                <xdr:colOff>295275</xdr:colOff>
                <xdr:row>16</xdr:row>
                <xdr:rowOff>171450</xdr:rowOff>
              </from>
              <to>
                <xdr:col>7</xdr:col>
                <xdr:colOff>600075</xdr:colOff>
                <xdr:row>18</xdr:row>
                <xdr:rowOff>19050</xdr:rowOff>
              </to>
            </anchor>
          </controlPr>
        </control>
      </mc:Choice>
      <mc:Fallback>
        <control shapeId="3103" r:id="rId60" name="TBD"/>
      </mc:Fallback>
    </mc:AlternateContent>
    <mc:AlternateContent xmlns:mc="http://schemas.openxmlformats.org/markup-compatibility/2006">
      <mc:Choice Requires="x14">
        <control shapeId="3104" r:id="rId62" name="TMULOK">
          <controlPr autoLine="0" r:id="rId63">
            <anchor moveWithCells="1">
              <from>
                <xdr:col>6</xdr:col>
                <xdr:colOff>295275</xdr:colOff>
                <xdr:row>18</xdr:row>
                <xdr:rowOff>0</xdr:rowOff>
              </from>
              <to>
                <xdr:col>7</xdr:col>
                <xdr:colOff>600075</xdr:colOff>
                <xdr:row>19</xdr:row>
                <xdr:rowOff>38100</xdr:rowOff>
              </to>
            </anchor>
          </controlPr>
        </control>
      </mc:Choice>
      <mc:Fallback>
        <control shapeId="3104" r:id="rId62" name="TMULOK"/>
      </mc:Fallback>
    </mc:AlternateContent>
    <mc:AlternateContent xmlns:mc="http://schemas.openxmlformats.org/markup-compatibility/2006">
      <mc:Choice Requires="x14">
        <control shapeId="3105" r:id="rId64" name="TTIK">
          <controlPr autoLine="0" r:id="rId65">
            <anchor moveWithCells="1">
              <from>
                <xdr:col>6</xdr:col>
                <xdr:colOff>295275</xdr:colOff>
                <xdr:row>19</xdr:row>
                <xdr:rowOff>19050</xdr:rowOff>
              </from>
              <to>
                <xdr:col>7</xdr:col>
                <xdr:colOff>600075</xdr:colOff>
                <xdr:row>20</xdr:row>
                <xdr:rowOff>57150</xdr:rowOff>
              </to>
            </anchor>
          </controlPr>
        </control>
      </mc:Choice>
      <mc:Fallback>
        <control shapeId="3105" r:id="rId64" name="TTIK"/>
      </mc:Fallback>
    </mc:AlternateContent>
    <mc:AlternateContent xmlns:mc="http://schemas.openxmlformats.org/markup-compatibility/2006">
      <mc:Choice Requires="x14">
        <control shapeId="3106" r:id="rId66" name="TIPA">
          <controlPr autoLine="0" r:id="rId67">
            <anchor moveWithCells="1">
              <from>
                <xdr:col>6</xdr:col>
                <xdr:colOff>295275</xdr:colOff>
                <xdr:row>20</xdr:row>
                <xdr:rowOff>0</xdr:rowOff>
              </from>
              <to>
                <xdr:col>7</xdr:col>
                <xdr:colOff>600075</xdr:colOff>
                <xdr:row>21</xdr:row>
                <xdr:rowOff>38100</xdr:rowOff>
              </to>
            </anchor>
          </controlPr>
        </control>
      </mc:Choice>
      <mc:Fallback>
        <control shapeId="3106" r:id="rId66" name="TIPA"/>
      </mc:Fallback>
    </mc:AlternateContent>
    <mc:AlternateContent xmlns:mc="http://schemas.openxmlformats.org/markup-compatibility/2006">
      <mc:Choice Requires="x14">
        <control shapeId="3107" r:id="rId68" name="TSENI">
          <controlPr autoLine="0" r:id="rId69">
            <anchor moveWithCells="1">
              <from>
                <xdr:col>6</xdr:col>
                <xdr:colOff>285750</xdr:colOff>
                <xdr:row>20</xdr:row>
                <xdr:rowOff>180975</xdr:rowOff>
              </from>
              <to>
                <xdr:col>7</xdr:col>
                <xdr:colOff>590550</xdr:colOff>
                <xdr:row>22</xdr:row>
                <xdr:rowOff>28575</xdr:rowOff>
              </to>
            </anchor>
          </controlPr>
        </control>
      </mc:Choice>
      <mc:Fallback>
        <control shapeId="3107" r:id="rId68" name="TSENI"/>
      </mc:Fallback>
    </mc:AlternateContent>
    <mc:AlternateContent xmlns:mc="http://schemas.openxmlformats.org/markup-compatibility/2006">
      <mc:Choice Requires="x14">
        <control shapeId="3108" r:id="rId70" name="TDIRI">
          <controlPr autoLine="0" r:id="rId71">
            <anchor moveWithCells="1">
              <from>
                <xdr:col>6</xdr:col>
                <xdr:colOff>285750</xdr:colOff>
                <xdr:row>22</xdr:row>
                <xdr:rowOff>0</xdr:rowOff>
              </from>
              <to>
                <xdr:col>7</xdr:col>
                <xdr:colOff>590550</xdr:colOff>
                <xdr:row>23</xdr:row>
                <xdr:rowOff>38100</xdr:rowOff>
              </to>
            </anchor>
          </controlPr>
        </control>
      </mc:Choice>
      <mc:Fallback>
        <control shapeId="3108" r:id="rId70" name="TDIRI"/>
      </mc:Fallback>
    </mc:AlternateContent>
    <mc:AlternateContent xmlns:mc="http://schemas.openxmlformats.org/markup-compatibility/2006">
      <mc:Choice Requires="x14">
        <control shapeId="3112" r:id="rId72" name="Label16">
          <controlPr autoLine="0" r:id="rId73">
            <anchor moveWithCells="1">
              <from>
                <xdr:col>1</xdr:col>
                <xdr:colOff>228600</xdr:colOff>
                <xdr:row>8</xdr:row>
                <xdr:rowOff>85725</xdr:rowOff>
              </from>
              <to>
                <xdr:col>2</xdr:col>
                <xdr:colOff>533400</xdr:colOff>
                <xdr:row>9</xdr:row>
                <xdr:rowOff>123825</xdr:rowOff>
              </to>
            </anchor>
          </controlPr>
        </control>
      </mc:Choice>
      <mc:Fallback>
        <control shapeId="3112" r:id="rId72" name="Label16"/>
      </mc:Fallback>
    </mc:AlternateContent>
    <mc:AlternateContent xmlns:mc="http://schemas.openxmlformats.org/markup-compatibility/2006">
      <mc:Choice Requires="x14">
        <control shapeId="3113" r:id="rId74" name="Label17">
          <controlPr autoLine="0" r:id="rId75">
            <anchor moveWithCells="1">
              <from>
                <xdr:col>6</xdr:col>
                <xdr:colOff>295275</xdr:colOff>
                <xdr:row>8</xdr:row>
                <xdr:rowOff>66675</xdr:rowOff>
              </from>
              <to>
                <xdr:col>7</xdr:col>
                <xdr:colOff>600075</xdr:colOff>
                <xdr:row>9</xdr:row>
                <xdr:rowOff>104775</xdr:rowOff>
              </to>
            </anchor>
          </controlPr>
        </control>
      </mc:Choice>
      <mc:Fallback>
        <control shapeId="3113" r:id="rId74" name="Label17"/>
      </mc:Fallback>
    </mc:AlternateContent>
    <mc:AlternateContent xmlns:mc="http://schemas.openxmlformats.org/markup-compatibility/2006">
      <mc:Choice Requires="x14">
        <control shapeId="3115" r:id="rId76" name="Label18">
          <controlPr autoLine="0" r:id="rId77">
            <anchor moveWithCells="1">
              <from>
                <xdr:col>1</xdr:col>
                <xdr:colOff>238125</xdr:colOff>
                <xdr:row>23</xdr:row>
                <xdr:rowOff>28575</xdr:rowOff>
              </from>
              <to>
                <xdr:col>4</xdr:col>
                <xdr:colOff>66675</xdr:colOff>
                <xdr:row>24</xdr:row>
                <xdr:rowOff>66675</xdr:rowOff>
              </to>
            </anchor>
          </controlPr>
        </control>
      </mc:Choice>
      <mc:Fallback>
        <control shapeId="3115" r:id="rId76" name="Label18"/>
      </mc:Fallback>
    </mc:AlternateContent>
    <mc:AlternateContent xmlns:mc="http://schemas.openxmlformats.org/markup-compatibility/2006">
      <mc:Choice Requires="x14">
        <control shapeId="3116" r:id="rId78" name="Label20">
          <controlPr autoLine="0" r:id="rId79">
            <anchor moveWithCells="1">
              <from>
                <xdr:col>1</xdr:col>
                <xdr:colOff>228600</xdr:colOff>
                <xdr:row>24</xdr:row>
                <xdr:rowOff>28575</xdr:rowOff>
              </from>
              <to>
                <xdr:col>4</xdr:col>
                <xdr:colOff>57150</xdr:colOff>
                <xdr:row>25</xdr:row>
                <xdr:rowOff>66675</xdr:rowOff>
              </to>
            </anchor>
          </controlPr>
        </control>
      </mc:Choice>
      <mc:Fallback>
        <control shapeId="3116" r:id="rId78" name="Label20"/>
      </mc:Fallback>
    </mc:AlternateContent>
    <mc:AlternateContent xmlns:mc="http://schemas.openxmlformats.org/markup-compatibility/2006">
      <mc:Choice Requires="x14">
        <control shapeId="3118" r:id="rId80" name="TextBox1">
          <controlPr autoLine="0" r:id="rId81">
            <anchor moveWithCells="1">
              <from>
                <xdr:col>5</xdr:col>
                <xdr:colOff>295275</xdr:colOff>
                <xdr:row>23</xdr:row>
                <xdr:rowOff>0</xdr:rowOff>
              </from>
              <to>
                <xdr:col>6</xdr:col>
                <xdr:colOff>600075</xdr:colOff>
                <xdr:row>24</xdr:row>
                <xdr:rowOff>38100</xdr:rowOff>
              </to>
            </anchor>
          </controlPr>
        </control>
      </mc:Choice>
      <mc:Fallback>
        <control shapeId="3118" r:id="rId80" name="TextBox1"/>
      </mc:Fallback>
    </mc:AlternateContent>
    <mc:AlternateContent xmlns:mc="http://schemas.openxmlformats.org/markup-compatibility/2006">
      <mc:Choice Requires="x14">
        <control shapeId="3120" r:id="rId82" name="TJUMLAH">
          <controlPr autoLine="0" r:id="rId83">
            <anchor moveWithCells="1">
              <from>
                <xdr:col>6</xdr:col>
                <xdr:colOff>285750</xdr:colOff>
                <xdr:row>22</xdr:row>
                <xdr:rowOff>180975</xdr:rowOff>
              </from>
              <to>
                <xdr:col>7</xdr:col>
                <xdr:colOff>590550</xdr:colOff>
                <xdr:row>24</xdr:row>
                <xdr:rowOff>28575</xdr:rowOff>
              </to>
            </anchor>
          </controlPr>
        </control>
      </mc:Choice>
      <mc:Fallback>
        <control shapeId="3120" r:id="rId82" name="TJUMLAH"/>
      </mc:Fallback>
    </mc:AlternateContent>
    <mc:AlternateContent xmlns:mc="http://schemas.openxmlformats.org/markup-compatibility/2006">
      <mc:Choice Requires="x14">
        <control shapeId="3122" r:id="rId84" name="T_RATA">
          <controlPr autoLine="0" r:id="rId85">
            <anchor moveWithCells="1">
              <from>
                <xdr:col>5</xdr:col>
                <xdr:colOff>447675</xdr:colOff>
                <xdr:row>24</xdr:row>
                <xdr:rowOff>9525</xdr:rowOff>
              </from>
              <to>
                <xdr:col>8</xdr:col>
                <xdr:colOff>9525</xdr:colOff>
                <xdr:row>25</xdr:row>
                <xdr:rowOff>57150</xdr:rowOff>
              </to>
            </anchor>
          </controlPr>
        </control>
      </mc:Choice>
      <mc:Fallback>
        <control shapeId="3122" r:id="rId84" name="T_RATA"/>
      </mc:Fallback>
    </mc:AlternateContent>
    <mc:AlternateContent xmlns:mc="http://schemas.openxmlformats.org/markup-compatibility/2006">
      <mc:Choice Requires="x14">
        <control shapeId="3111" r:id="rId86" name="Button 39">
          <controlPr defaultSize="0" print="0" autoFill="0" autoPict="0" macro="[0]!print_data_persiswa">
            <anchor moveWithCells="1">
              <from>
                <xdr:col>8</xdr:col>
                <xdr:colOff>371475</xdr:colOff>
                <xdr:row>3</xdr:row>
                <xdr:rowOff>104775</xdr:rowOff>
              </from>
              <to>
                <xdr:col>10</xdr:col>
                <xdr:colOff>38100</xdr:colOff>
                <xdr:row>5</xdr:row>
                <xdr:rowOff>85725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H17"/>
  <sheetViews>
    <sheetView showGridLines="0" showRowColHeaders="0" zoomScale="112" zoomScaleNormal="112" workbookViewId="0">
      <selection activeCell="C2" sqref="C2"/>
    </sheetView>
  </sheetViews>
  <sheetFormatPr defaultRowHeight="15" x14ac:dyDescent="0.25"/>
  <cols>
    <col min="8" max="8" width="5.140625" customWidth="1"/>
  </cols>
  <sheetData>
    <row r="3" spans="2:8" ht="20.25" x14ac:dyDescent="0.3">
      <c r="B3" s="174" t="s">
        <v>260</v>
      </c>
      <c r="C3" s="174"/>
      <c r="D3" s="174"/>
      <c r="E3" s="174"/>
      <c r="F3" s="174"/>
      <c r="G3" s="174"/>
      <c r="H3" s="174"/>
    </row>
    <row r="4" spans="2:8" ht="3" customHeight="1" x14ac:dyDescent="0.25"/>
    <row r="16" spans="2:8" ht="24.75" customHeight="1" x14ac:dyDescent="0.25"/>
    <row r="17" ht="10.5" customHeight="1" x14ac:dyDescent="0.25"/>
  </sheetData>
  <mergeCells count="1">
    <mergeCell ref="B3:H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7" r:id="rId4" name="Label8">
          <controlPr autoLine="0" autoPict="0" r:id="rId5">
            <anchor moveWithCells="1">
              <from>
                <xdr:col>1</xdr:col>
                <xdr:colOff>590550</xdr:colOff>
                <xdr:row>6</xdr:row>
                <xdr:rowOff>9525</xdr:rowOff>
              </from>
              <to>
                <xdr:col>7</xdr:col>
                <xdr:colOff>266700</xdr:colOff>
                <xdr:row>7</xdr:row>
                <xdr:rowOff>0</xdr:rowOff>
              </to>
            </anchor>
          </controlPr>
        </control>
      </mc:Choice>
      <mc:Fallback>
        <control shapeId="4117" r:id="rId4" name="Label8"/>
      </mc:Fallback>
    </mc:AlternateContent>
    <mc:AlternateContent xmlns:mc="http://schemas.openxmlformats.org/markup-compatibility/2006">
      <mc:Choice Requires="x14">
        <control shapeId="4116" r:id="rId6" name="Label7">
          <controlPr autoLine="0" r:id="rId7">
            <anchor moveWithCells="1">
              <from>
                <xdr:col>3</xdr:col>
                <xdr:colOff>257175</xdr:colOff>
                <xdr:row>5</xdr:row>
                <xdr:rowOff>0</xdr:rowOff>
              </from>
              <to>
                <xdr:col>5</xdr:col>
                <xdr:colOff>304800</xdr:colOff>
                <xdr:row>6</xdr:row>
                <xdr:rowOff>57150</xdr:rowOff>
              </to>
            </anchor>
          </controlPr>
        </control>
      </mc:Choice>
      <mc:Fallback>
        <control shapeId="4116" r:id="rId6" name="Label7"/>
      </mc:Fallback>
    </mc:AlternateContent>
    <mc:AlternateContent xmlns:mc="http://schemas.openxmlformats.org/markup-compatibility/2006">
      <mc:Choice Requires="x14">
        <control shapeId="4115" r:id="rId8" name="Label6">
          <controlPr autoLine="0" r:id="rId9">
            <anchor moveWithCells="1">
              <from>
                <xdr:col>2</xdr:col>
                <xdr:colOff>438150</xdr:colOff>
                <xdr:row>4</xdr:row>
                <xdr:rowOff>47625</xdr:rowOff>
              </from>
              <to>
                <xdr:col>6</xdr:col>
                <xdr:colOff>342900</xdr:colOff>
                <xdr:row>5</xdr:row>
                <xdr:rowOff>142875</xdr:rowOff>
              </to>
            </anchor>
          </controlPr>
        </control>
      </mc:Choice>
      <mc:Fallback>
        <control shapeId="4115" r:id="rId8" name="Label6"/>
      </mc:Fallback>
    </mc:AlternateContent>
    <mc:AlternateContent xmlns:mc="http://schemas.openxmlformats.org/markup-compatibility/2006">
      <mc:Choice Requires="x14">
        <control shapeId="4097" r:id="rId10" name="Label1">
          <controlPr autoLine="0" autoPict="0" r:id="rId11">
            <anchor moveWithCells="1">
              <from>
                <xdr:col>1</xdr:col>
                <xdr:colOff>266700</xdr:colOff>
                <xdr:row>8</xdr:row>
                <xdr:rowOff>123825</xdr:rowOff>
              </from>
              <to>
                <xdr:col>2</xdr:col>
                <xdr:colOff>514350</xdr:colOff>
                <xdr:row>9</xdr:row>
                <xdr:rowOff>152400</xdr:rowOff>
              </to>
            </anchor>
          </controlPr>
        </control>
      </mc:Choice>
      <mc:Fallback>
        <control shapeId="4097" r:id="rId10" name="Label1"/>
      </mc:Fallback>
    </mc:AlternateContent>
    <mc:AlternateContent xmlns:mc="http://schemas.openxmlformats.org/markup-compatibility/2006">
      <mc:Choice Requires="x14">
        <control shapeId="4098" r:id="rId12" name="Label2">
          <controlPr autoLine="0" autoPict="0" r:id="rId13">
            <anchor moveWithCells="1">
              <from>
                <xdr:col>1</xdr:col>
                <xdr:colOff>266700</xdr:colOff>
                <xdr:row>7</xdr:row>
                <xdr:rowOff>114300</xdr:rowOff>
              </from>
              <to>
                <xdr:col>2</xdr:col>
                <xdr:colOff>533400</xdr:colOff>
                <xdr:row>8</xdr:row>
                <xdr:rowOff>142875</xdr:rowOff>
              </to>
            </anchor>
          </controlPr>
        </control>
      </mc:Choice>
      <mc:Fallback>
        <control shapeId="4098" r:id="rId12" name="Label2"/>
      </mc:Fallback>
    </mc:AlternateContent>
    <mc:AlternateContent xmlns:mc="http://schemas.openxmlformats.org/markup-compatibility/2006">
      <mc:Choice Requires="x14">
        <control shapeId="4099" r:id="rId14" name="Label3">
          <controlPr autoLine="0" r:id="rId15">
            <anchor moveWithCells="1">
              <from>
                <xdr:col>1</xdr:col>
                <xdr:colOff>257175</xdr:colOff>
                <xdr:row>9</xdr:row>
                <xdr:rowOff>123825</xdr:rowOff>
              </from>
              <to>
                <xdr:col>2</xdr:col>
                <xdr:colOff>457200</xdr:colOff>
                <xdr:row>10</xdr:row>
                <xdr:rowOff>152400</xdr:rowOff>
              </to>
            </anchor>
          </controlPr>
        </control>
      </mc:Choice>
      <mc:Fallback>
        <control shapeId="4099" r:id="rId14" name="Label3"/>
      </mc:Fallback>
    </mc:AlternateContent>
    <mc:AlternateContent xmlns:mc="http://schemas.openxmlformats.org/markup-compatibility/2006">
      <mc:Choice Requires="x14">
        <control shapeId="4100" r:id="rId16" name="Label4">
          <controlPr autoLine="0" autoPict="0" r:id="rId17">
            <anchor moveWithCells="1">
              <from>
                <xdr:col>1</xdr:col>
                <xdr:colOff>276225</xdr:colOff>
                <xdr:row>11</xdr:row>
                <xdr:rowOff>95250</xdr:rowOff>
              </from>
              <to>
                <xdr:col>2</xdr:col>
                <xdr:colOff>485775</xdr:colOff>
                <xdr:row>12</xdr:row>
                <xdr:rowOff>104775</xdr:rowOff>
              </to>
            </anchor>
          </controlPr>
        </control>
      </mc:Choice>
      <mc:Fallback>
        <control shapeId="4100" r:id="rId16" name="Label4"/>
      </mc:Fallback>
    </mc:AlternateContent>
    <mc:AlternateContent xmlns:mc="http://schemas.openxmlformats.org/markup-compatibility/2006">
      <mc:Choice Requires="x14">
        <control shapeId="4101" r:id="rId18" name="Label5">
          <controlPr autoLine="0" autoPict="0" r:id="rId19">
            <anchor moveWithCells="1">
              <from>
                <xdr:col>1</xdr:col>
                <xdr:colOff>257175</xdr:colOff>
                <xdr:row>10</xdr:row>
                <xdr:rowOff>123825</xdr:rowOff>
              </from>
              <to>
                <xdr:col>2</xdr:col>
                <xdr:colOff>466725</xdr:colOff>
                <xdr:row>11</xdr:row>
                <xdr:rowOff>133350</xdr:rowOff>
              </to>
            </anchor>
          </controlPr>
        </control>
      </mc:Choice>
      <mc:Fallback>
        <control shapeId="4101" r:id="rId18" name="Label5"/>
      </mc:Fallback>
    </mc:AlternateContent>
    <mc:AlternateContent xmlns:mc="http://schemas.openxmlformats.org/markup-compatibility/2006">
      <mc:Choice Requires="x14">
        <control shapeId="4108" r:id="rId20" name="CommandButton1">
          <controlPr autoLine="0" autoPict="0" r:id="rId21">
            <anchor moveWithCells="1">
              <from>
                <xdr:col>8</xdr:col>
                <xdr:colOff>38100</xdr:colOff>
                <xdr:row>4</xdr:row>
                <xdr:rowOff>0</xdr:rowOff>
              </from>
              <to>
                <xdr:col>10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4108" r:id="rId20" name="CommandButton1"/>
      </mc:Fallback>
    </mc:AlternateContent>
    <mc:AlternateContent xmlns:mc="http://schemas.openxmlformats.org/markup-compatibility/2006">
      <mc:Choice Requires="x14">
        <control shapeId="4109" r:id="rId22" name="TCARI">
          <controlPr autoLine="0" r:id="rId23">
            <anchor moveWithCells="1">
              <from>
                <xdr:col>10</xdr:col>
                <xdr:colOff>47625</xdr:colOff>
                <xdr:row>4</xdr:row>
                <xdr:rowOff>0</xdr:rowOff>
              </from>
              <to>
                <xdr:col>11</xdr:col>
                <xdr:colOff>447675</xdr:colOff>
                <xdr:row>5</xdr:row>
                <xdr:rowOff>104775</xdr:rowOff>
              </to>
            </anchor>
          </controlPr>
        </control>
      </mc:Choice>
      <mc:Fallback>
        <control shapeId="4109" r:id="rId22" name="TCARI"/>
      </mc:Fallback>
    </mc:AlternateContent>
    <mc:AlternateContent xmlns:mc="http://schemas.openxmlformats.org/markup-compatibility/2006">
      <mc:Choice Requires="x14">
        <control shapeId="4110" r:id="rId24" name="T_NAMA">
          <controlPr autoLine="0" r:id="rId25">
            <anchor moveWithCells="1">
              <from>
                <xdr:col>2</xdr:col>
                <xdr:colOff>390525</xdr:colOff>
                <xdr:row>7</xdr:row>
                <xdr:rowOff>123825</xdr:rowOff>
              </from>
              <to>
                <xdr:col>5</xdr:col>
                <xdr:colOff>266700</xdr:colOff>
                <xdr:row>8</xdr:row>
                <xdr:rowOff>142875</xdr:rowOff>
              </to>
            </anchor>
          </controlPr>
        </control>
      </mc:Choice>
      <mc:Fallback>
        <control shapeId="4110" r:id="rId24" name="T_NAMA"/>
      </mc:Fallback>
    </mc:AlternateContent>
    <mc:AlternateContent xmlns:mc="http://schemas.openxmlformats.org/markup-compatibility/2006">
      <mc:Choice Requires="x14">
        <control shapeId="4111" r:id="rId26" name="T_NIS">
          <controlPr autoLine="0" r:id="rId27">
            <anchor moveWithCells="1">
              <from>
                <xdr:col>2</xdr:col>
                <xdr:colOff>371475</xdr:colOff>
                <xdr:row>8</xdr:row>
                <xdr:rowOff>123825</xdr:rowOff>
              </from>
              <to>
                <xdr:col>4</xdr:col>
                <xdr:colOff>95250</xdr:colOff>
                <xdr:row>9</xdr:row>
                <xdr:rowOff>133350</xdr:rowOff>
              </to>
            </anchor>
          </controlPr>
        </control>
      </mc:Choice>
      <mc:Fallback>
        <control shapeId="4111" r:id="rId26" name="T_NIS"/>
      </mc:Fallback>
    </mc:AlternateContent>
    <mc:AlternateContent xmlns:mc="http://schemas.openxmlformats.org/markup-compatibility/2006">
      <mc:Choice Requires="x14">
        <control shapeId="4112" r:id="rId28" name="T_TEM">
          <controlPr autoLine="0" r:id="rId29">
            <anchor moveWithCells="1">
              <from>
                <xdr:col>2</xdr:col>
                <xdr:colOff>381000</xdr:colOff>
                <xdr:row>9</xdr:row>
                <xdr:rowOff>123825</xdr:rowOff>
              </from>
              <to>
                <xdr:col>4</xdr:col>
                <xdr:colOff>85725</xdr:colOff>
                <xdr:row>10</xdr:row>
                <xdr:rowOff>152400</xdr:rowOff>
              </to>
            </anchor>
          </controlPr>
        </control>
      </mc:Choice>
      <mc:Fallback>
        <control shapeId="4112" r:id="rId28" name="T_TEM"/>
      </mc:Fallback>
    </mc:AlternateContent>
    <mc:AlternateContent xmlns:mc="http://schemas.openxmlformats.org/markup-compatibility/2006">
      <mc:Choice Requires="x14">
        <control shapeId="4113" r:id="rId30" name="T_TGL">
          <controlPr autoLine="0" r:id="rId31">
            <anchor moveWithCells="1">
              <from>
                <xdr:col>2</xdr:col>
                <xdr:colOff>381000</xdr:colOff>
                <xdr:row>10</xdr:row>
                <xdr:rowOff>114300</xdr:rowOff>
              </from>
              <to>
                <xdr:col>4</xdr:col>
                <xdr:colOff>104775</xdr:colOff>
                <xdr:row>11</xdr:row>
                <xdr:rowOff>114300</xdr:rowOff>
              </to>
            </anchor>
          </controlPr>
        </control>
      </mc:Choice>
      <mc:Fallback>
        <control shapeId="4113" r:id="rId30" name="T_TGL"/>
      </mc:Fallback>
    </mc:AlternateContent>
    <mc:AlternateContent xmlns:mc="http://schemas.openxmlformats.org/markup-compatibility/2006">
      <mc:Choice Requires="x14">
        <control shapeId="4114" r:id="rId32" name="T_alamat">
          <controlPr autoLine="0" r:id="rId33">
            <anchor moveWithCells="1">
              <from>
                <xdr:col>2</xdr:col>
                <xdr:colOff>390525</xdr:colOff>
                <xdr:row>11</xdr:row>
                <xdr:rowOff>85725</xdr:rowOff>
              </from>
              <to>
                <xdr:col>5</xdr:col>
                <xdr:colOff>104775</xdr:colOff>
                <xdr:row>12</xdr:row>
                <xdr:rowOff>114300</xdr:rowOff>
              </to>
            </anchor>
          </controlPr>
        </control>
      </mc:Choice>
      <mc:Fallback>
        <control shapeId="4114" r:id="rId32" name="T_alamat"/>
      </mc:Fallback>
    </mc:AlternateContent>
    <mc:AlternateContent xmlns:mc="http://schemas.openxmlformats.org/markup-compatibility/2006">
      <mc:Choice Requires="x14">
        <control shapeId="4120" r:id="rId34" name="Button 24">
          <controlPr defaultSize="0" print="0" autoFill="0" autoPict="0" macro="[0]!print_Kartusiswa">
            <anchor moveWithCells="1">
              <from>
                <xdr:col>8</xdr:col>
                <xdr:colOff>19050</xdr:colOff>
                <xdr:row>5</xdr:row>
                <xdr:rowOff>152400</xdr:rowOff>
              </from>
              <to>
                <xdr:col>10</xdr:col>
                <xdr:colOff>9525</xdr:colOff>
                <xdr:row>7</xdr:row>
                <xdr:rowOff>47625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T97"/>
  <sheetViews>
    <sheetView topLeftCell="A2" zoomScale="77" zoomScaleNormal="77" workbookViewId="0">
      <selection activeCell="B6" sqref="B6"/>
    </sheetView>
  </sheetViews>
  <sheetFormatPr defaultRowHeight="15" x14ac:dyDescent="0.25"/>
  <cols>
    <col min="2" max="2" width="14.28515625" customWidth="1"/>
    <col min="3" max="3" width="14.85546875" customWidth="1"/>
    <col min="4" max="4" width="12.28515625" customWidth="1"/>
    <col min="5" max="5" width="17.28515625" customWidth="1"/>
    <col min="6" max="6" width="12.7109375" customWidth="1"/>
    <col min="7" max="7" width="20.42578125" customWidth="1"/>
    <col min="8" max="8" width="12.28515625" customWidth="1"/>
    <col min="9" max="9" width="14.7109375" customWidth="1"/>
    <col min="10" max="10" width="12.85546875" customWidth="1"/>
    <col min="11" max="11" width="13.28515625" customWidth="1"/>
    <col min="12" max="12" width="14.42578125" customWidth="1"/>
    <col min="13" max="13" width="10" customWidth="1"/>
    <col min="14" max="14" width="10.85546875" customWidth="1"/>
    <col min="15" max="15" width="10" customWidth="1"/>
    <col min="16" max="16" width="10.85546875" customWidth="1"/>
    <col min="17" max="17" width="12.85546875" customWidth="1"/>
    <col min="18" max="18" width="19.140625" customWidth="1"/>
    <col min="19" max="19" width="21.42578125" customWidth="1"/>
  </cols>
  <sheetData>
    <row r="1" spans="2:20" ht="35.25" customHeight="1" x14ac:dyDescent="0.25">
      <c r="T1" s="1"/>
    </row>
    <row r="5" spans="2:20" x14ac:dyDescent="0.25">
      <c r="B5" t="s">
        <v>15</v>
      </c>
      <c r="C5" t="s">
        <v>14</v>
      </c>
    </row>
    <row r="6" spans="2:20" ht="15.75" thickBot="1" x14ac:dyDescent="0.3"/>
    <row r="7" spans="2:20" ht="31.5" thickTop="1" thickBot="1" x14ac:dyDescent="0.3">
      <c r="B7" s="27" t="s">
        <v>5</v>
      </c>
      <c r="C7" s="28" t="s">
        <v>0</v>
      </c>
      <c r="D7" s="29" t="s">
        <v>1</v>
      </c>
      <c r="E7" s="28" t="s">
        <v>2</v>
      </c>
      <c r="F7" s="28" t="s">
        <v>3</v>
      </c>
      <c r="G7" s="28" t="s">
        <v>4</v>
      </c>
      <c r="H7" s="28" t="s">
        <v>10</v>
      </c>
      <c r="I7" s="28" t="s">
        <v>11</v>
      </c>
      <c r="J7" s="28" t="s">
        <v>12</v>
      </c>
      <c r="K7" s="28" t="s">
        <v>6</v>
      </c>
      <c r="L7" s="30" t="s">
        <v>7</v>
      </c>
      <c r="M7" s="10"/>
      <c r="N7" s="10"/>
      <c r="O7" s="10"/>
      <c r="P7" s="10"/>
      <c r="Q7" s="10"/>
      <c r="R7" s="11"/>
      <c r="S7" s="11"/>
    </row>
    <row r="8" spans="2:20" ht="15.75" thickTop="1" x14ac:dyDescent="0.25">
      <c r="B8" s="21" t="s">
        <v>250</v>
      </c>
      <c r="C8" s="22"/>
      <c r="D8" s="23"/>
      <c r="E8" s="24"/>
      <c r="F8" s="22"/>
      <c r="G8" s="22"/>
      <c r="H8" s="22"/>
      <c r="I8" s="25"/>
      <c r="J8" s="22"/>
      <c r="K8" s="22"/>
      <c r="L8" s="26"/>
      <c r="M8" s="12"/>
      <c r="N8" s="12"/>
      <c r="O8" s="12"/>
      <c r="P8" s="12"/>
      <c r="Q8" s="12"/>
      <c r="R8" s="13"/>
      <c r="S8" s="12"/>
    </row>
    <row r="9" spans="2:20" x14ac:dyDescent="0.25">
      <c r="B9" s="17"/>
      <c r="C9" s="4"/>
      <c r="D9" s="19"/>
      <c r="E9" s="5"/>
      <c r="F9" s="4"/>
      <c r="G9" s="4"/>
      <c r="H9" s="4"/>
      <c r="I9" s="6"/>
      <c r="J9" s="4"/>
      <c r="K9" s="4"/>
      <c r="L9" s="15"/>
      <c r="M9" s="12"/>
      <c r="N9" s="12"/>
      <c r="O9" s="12"/>
      <c r="P9" s="12"/>
      <c r="Q9" s="12"/>
      <c r="R9" s="13"/>
      <c r="S9" s="12"/>
    </row>
    <row r="10" spans="2:20" x14ac:dyDescent="0.25">
      <c r="B10" s="17"/>
      <c r="C10" s="4"/>
      <c r="D10" s="19"/>
      <c r="E10" s="5"/>
      <c r="F10" s="4"/>
      <c r="G10" s="4"/>
      <c r="H10" s="4"/>
      <c r="I10" s="6"/>
      <c r="J10" s="4"/>
      <c r="K10" s="4"/>
      <c r="L10" s="15"/>
      <c r="M10" s="12"/>
      <c r="N10" s="12"/>
      <c r="O10" s="12"/>
      <c r="P10" s="12"/>
      <c r="Q10" s="12"/>
      <c r="R10" s="13"/>
      <c r="S10" s="12"/>
    </row>
    <row r="11" spans="2:20" x14ac:dyDescent="0.25">
      <c r="B11" s="17"/>
      <c r="C11" s="4"/>
      <c r="D11" s="19"/>
      <c r="E11" s="4"/>
      <c r="F11" s="4"/>
      <c r="G11" s="4"/>
      <c r="H11" s="4"/>
      <c r="I11" s="6"/>
      <c r="J11" s="4"/>
      <c r="K11" s="4"/>
      <c r="L11" s="15"/>
      <c r="M11" s="12"/>
      <c r="N11" s="12"/>
      <c r="O11" s="12"/>
      <c r="P11" s="12"/>
      <c r="Q11" s="12"/>
      <c r="R11" s="13"/>
      <c r="S11" s="12"/>
    </row>
    <row r="12" spans="2:20" x14ac:dyDescent="0.25">
      <c r="B12" s="17"/>
      <c r="C12" s="4"/>
      <c r="D12" s="19"/>
      <c r="E12" s="4"/>
      <c r="F12" s="4"/>
      <c r="G12" s="4"/>
      <c r="H12" s="4"/>
      <c r="I12" s="7"/>
      <c r="J12" s="4"/>
      <c r="K12" s="4"/>
      <c r="L12" s="15"/>
      <c r="M12" s="12"/>
      <c r="N12" s="12"/>
      <c r="O12" s="12"/>
      <c r="P12" s="12"/>
      <c r="Q12" s="12"/>
      <c r="R12" s="13"/>
      <c r="S12" s="12"/>
    </row>
    <row r="13" spans="2:20" x14ac:dyDescent="0.25">
      <c r="B13" s="17"/>
      <c r="C13" s="4"/>
      <c r="D13" s="19"/>
      <c r="E13" s="4"/>
      <c r="F13" s="4"/>
      <c r="G13" s="4"/>
      <c r="H13" s="4"/>
      <c r="I13" s="6"/>
      <c r="J13" s="4"/>
      <c r="K13" s="4"/>
      <c r="L13" s="15"/>
      <c r="M13" s="12"/>
      <c r="N13" s="12"/>
      <c r="O13" s="12"/>
      <c r="P13" s="12"/>
      <c r="Q13" s="12"/>
      <c r="R13" s="13"/>
      <c r="S13" s="12"/>
    </row>
    <row r="14" spans="2:20" x14ac:dyDescent="0.25">
      <c r="B14" s="17"/>
      <c r="C14" s="4"/>
      <c r="D14" s="19"/>
      <c r="E14" s="4"/>
      <c r="F14" s="4"/>
      <c r="G14" s="4"/>
      <c r="H14" s="4"/>
      <c r="I14" s="6"/>
      <c r="J14" s="4"/>
      <c r="K14" s="4"/>
      <c r="L14" s="15"/>
      <c r="M14" s="12"/>
      <c r="N14" s="12"/>
      <c r="O14" s="12"/>
      <c r="P14" s="12"/>
      <c r="Q14" s="12"/>
      <c r="R14" s="13"/>
      <c r="S14" s="12"/>
    </row>
    <row r="15" spans="2:20" x14ac:dyDescent="0.25">
      <c r="B15" s="17"/>
      <c r="C15" s="4"/>
      <c r="D15" s="19"/>
      <c r="E15" s="4"/>
      <c r="F15" s="4"/>
      <c r="G15" s="4"/>
      <c r="H15" s="4"/>
      <c r="I15" s="6"/>
      <c r="J15" s="4"/>
      <c r="K15" s="4"/>
      <c r="L15" s="15"/>
      <c r="M15" s="12"/>
      <c r="N15" s="12"/>
      <c r="O15" s="12"/>
      <c r="P15" s="12"/>
      <c r="Q15" s="12"/>
      <c r="R15" s="13"/>
      <c r="S15" s="12"/>
    </row>
    <row r="16" spans="2:20" x14ac:dyDescent="0.25">
      <c r="B16" s="17"/>
      <c r="C16" s="4"/>
      <c r="D16" s="19"/>
      <c r="E16" s="4"/>
      <c r="F16" s="4"/>
      <c r="G16" s="4"/>
      <c r="H16" s="4"/>
      <c r="I16" s="6"/>
      <c r="J16" s="4"/>
      <c r="K16" s="4"/>
      <c r="L16" s="15"/>
      <c r="M16" s="12"/>
      <c r="N16" s="12"/>
      <c r="O16" s="12"/>
      <c r="P16" s="12"/>
      <c r="Q16" s="12"/>
      <c r="R16" s="13"/>
      <c r="S16" s="12"/>
    </row>
    <row r="17" spans="2:20" x14ac:dyDescent="0.25">
      <c r="B17" s="17"/>
      <c r="C17" s="4"/>
      <c r="D17" s="19"/>
      <c r="E17" s="4"/>
      <c r="F17" s="4"/>
      <c r="G17" s="4"/>
      <c r="H17" s="4"/>
      <c r="I17" s="6"/>
      <c r="J17" s="4"/>
      <c r="K17" s="4"/>
      <c r="L17" s="15"/>
      <c r="M17" s="12"/>
      <c r="N17" s="12"/>
      <c r="O17" s="12"/>
      <c r="P17" s="12"/>
      <c r="Q17" s="12"/>
      <c r="R17" s="13"/>
      <c r="S17" s="12"/>
    </row>
    <row r="18" spans="2:20" x14ac:dyDescent="0.25">
      <c r="B18" s="17"/>
      <c r="C18" s="4"/>
      <c r="D18" s="19"/>
      <c r="E18" s="4"/>
      <c r="F18" s="4"/>
      <c r="G18" s="4"/>
      <c r="H18" s="4"/>
      <c r="I18" s="6"/>
      <c r="J18" s="4"/>
      <c r="K18" s="4"/>
      <c r="L18" s="15"/>
      <c r="M18" s="12"/>
      <c r="N18" s="12"/>
      <c r="O18" s="12"/>
      <c r="P18" s="12"/>
      <c r="Q18" s="12"/>
      <c r="R18" s="13"/>
      <c r="S18" s="12"/>
    </row>
    <row r="19" spans="2:20" x14ac:dyDescent="0.25">
      <c r="B19" s="17"/>
      <c r="C19" s="4"/>
      <c r="D19" s="19"/>
      <c r="E19" s="4"/>
      <c r="F19" s="4"/>
      <c r="G19" s="4"/>
      <c r="H19" s="4"/>
      <c r="I19" s="6"/>
      <c r="J19" s="4"/>
      <c r="K19" s="4"/>
      <c r="L19" s="15"/>
      <c r="M19" s="12"/>
      <c r="N19" s="12"/>
      <c r="O19" s="12"/>
      <c r="P19" s="12"/>
      <c r="Q19" s="12"/>
      <c r="R19" s="13"/>
      <c r="S19" s="12"/>
    </row>
    <row r="20" spans="2:20" x14ac:dyDescent="0.25">
      <c r="B20" s="17"/>
      <c r="C20" s="4"/>
      <c r="D20" s="19"/>
      <c r="E20" s="4"/>
      <c r="F20" s="4"/>
      <c r="G20" s="4"/>
      <c r="H20" s="4"/>
      <c r="I20" s="6"/>
      <c r="J20" s="4"/>
      <c r="K20" s="4"/>
      <c r="L20" s="15"/>
      <c r="M20" s="12"/>
      <c r="N20" s="12"/>
      <c r="O20" s="12"/>
      <c r="P20" s="12"/>
      <c r="Q20" s="12"/>
      <c r="R20" s="13"/>
      <c r="S20" s="12"/>
      <c r="T20" s="3"/>
    </row>
    <row r="21" spans="2:20" x14ac:dyDescent="0.25">
      <c r="B21" s="17"/>
      <c r="C21" s="4"/>
      <c r="D21" s="19"/>
      <c r="E21" s="4"/>
      <c r="F21" s="4"/>
      <c r="G21" s="4"/>
      <c r="H21" s="4"/>
      <c r="I21" s="6"/>
      <c r="J21" s="4"/>
      <c r="K21" s="4"/>
      <c r="L21" s="15"/>
      <c r="M21" s="12"/>
      <c r="N21" s="12"/>
      <c r="O21" s="12"/>
      <c r="P21" s="12"/>
      <c r="Q21" s="12"/>
      <c r="R21" s="13"/>
      <c r="S21" s="12"/>
    </row>
    <row r="22" spans="2:20" x14ac:dyDescent="0.25">
      <c r="B22" s="17"/>
      <c r="C22" s="4"/>
      <c r="D22" s="19"/>
      <c r="E22" s="4"/>
      <c r="F22" s="4"/>
      <c r="G22" s="4"/>
      <c r="H22" s="4"/>
      <c r="I22" s="6"/>
      <c r="J22" s="4"/>
      <c r="K22" s="4"/>
      <c r="L22" s="15"/>
      <c r="M22" s="12"/>
      <c r="N22" s="12"/>
      <c r="O22" s="12"/>
      <c r="P22" s="12"/>
      <c r="Q22" s="12"/>
      <c r="R22" s="13"/>
      <c r="S22" s="12"/>
    </row>
    <row r="23" spans="2:20" x14ac:dyDescent="0.25">
      <c r="B23" s="17"/>
      <c r="C23" s="4"/>
      <c r="D23" s="19"/>
      <c r="E23" s="4"/>
      <c r="F23" s="4"/>
      <c r="G23" s="4"/>
      <c r="H23" s="4"/>
      <c r="I23" s="6"/>
      <c r="J23" s="4"/>
      <c r="K23" s="4"/>
      <c r="L23" s="15"/>
      <c r="M23" s="12"/>
      <c r="N23" s="12"/>
      <c r="O23" s="12"/>
      <c r="P23" s="12"/>
      <c r="Q23" s="12"/>
      <c r="R23" s="13"/>
      <c r="S23" s="12"/>
    </row>
    <row r="24" spans="2:20" x14ac:dyDescent="0.25">
      <c r="B24" s="17"/>
      <c r="C24" s="4"/>
      <c r="D24" s="19"/>
      <c r="E24" s="4"/>
      <c r="F24" s="4"/>
      <c r="G24" s="4"/>
      <c r="H24" s="4"/>
      <c r="I24" s="6"/>
      <c r="J24" s="4"/>
      <c r="K24" s="4"/>
      <c r="L24" s="15"/>
      <c r="M24" s="12"/>
      <c r="N24" s="12"/>
      <c r="O24" s="12"/>
      <c r="P24" s="12"/>
      <c r="Q24" s="12"/>
      <c r="R24" s="13"/>
      <c r="S24" s="12"/>
    </row>
    <row r="25" spans="2:20" x14ac:dyDescent="0.25">
      <c r="B25" s="17"/>
      <c r="C25" s="4"/>
      <c r="D25" s="19"/>
      <c r="E25" s="4"/>
      <c r="F25" s="4"/>
      <c r="G25" s="4"/>
      <c r="H25" s="4"/>
      <c r="I25" s="6"/>
      <c r="J25" s="4"/>
      <c r="K25" s="4"/>
      <c r="L25" s="15"/>
      <c r="M25" s="12"/>
      <c r="N25" s="12"/>
      <c r="O25" s="12"/>
      <c r="P25" s="12"/>
      <c r="Q25" s="12"/>
      <c r="R25" s="13"/>
      <c r="S25" s="12"/>
    </row>
    <row r="26" spans="2:20" x14ac:dyDescent="0.25">
      <c r="B26" s="17"/>
      <c r="C26" s="4"/>
      <c r="D26" s="19"/>
      <c r="E26" s="4"/>
      <c r="F26" s="4"/>
      <c r="G26" s="4"/>
      <c r="H26" s="4"/>
      <c r="I26" s="6"/>
      <c r="J26" s="4"/>
      <c r="K26" s="4"/>
      <c r="L26" s="15"/>
      <c r="M26" s="12"/>
      <c r="N26" s="12"/>
      <c r="O26" s="12"/>
      <c r="P26" s="12"/>
      <c r="Q26" s="12"/>
      <c r="R26" s="13"/>
      <c r="S26" s="12"/>
    </row>
    <row r="27" spans="2:20" x14ac:dyDescent="0.25">
      <c r="B27" s="17"/>
      <c r="C27" s="4"/>
      <c r="D27" s="19"/>
      <c r="E27" s="4"/>
      <c r="F27" s="4"/>
      <c r="G27" s="4"/>
      <c r="H27" s="4"/>
      <c r="I27" s="6"/>
      <c r="J27" s="4"/>
      <c r="K27" s="4"/>
      <c r="L27" s="15"/>
      <c r="M27" s="12"/>
      <c r="N27" s="12"/>
      <c r="O27" s="12"/>
      <c r="P27" s="12"/>
      <c r="Q27" s="12"/>
      <c r="R27" s="13"/>
      <c r="S27" s="12"/>
    </row>
    <row r="28" spans="2:20" x14ac:dyDescent="0.25">
      <c r="B28" s="17"/>
      <c r="C28" s="4"/>
      <c r="D28" s="19"/>
      <c r="E28" s="4"/>
      <c r="F28" s="4"/>
      <c r="G28" s="4"/>
      <c r="H28" s="4"/>
      <c r="I28" s="6"/>
      <c r="J28" s="4"/>
      <c r="K28" s="4"/>
      <c r="L28" s="15"/>
      <c r="M28" s="12"/>
      <c r="N28" s="12"/>
      <c r="O28" s="12"/>
      <c r="P28" s="12"/>
      <c r="Q28" s="12"/>
      <c r="R28" s="13"/>
      <c r="S28" s="12"/>
    </row>
    <row r="29" spans="2:20" x14ac:dyDescent="0.25">
      <c r="B29" s="17"/>
      <c r="C29" s="4"/>
      <c r="D29" s="19"/>
      <c r="E29" s="4"/>
      <c r="F29" s="4"/>
      <c r="G29" s="4"/>
      <c r="H29" s="4"/>
      <c r="I29" s="6"/>
      <c r="J29" s="4"/>
      <c r="K29" s="4"/>
      <c r="L29" s="15"/>
      <c r="M29" s="12"/>
      <c r="N29" s="12"/>
      <c r="O29" s="12"/>
      <c r="P29" s="12"/>
      <c r="Q29" s="12"/>
      <c r="R29" s="13"/>
      <c r="S29" s="12"/>
    </row>
    <row r="30" spans="2:20" x14ac:dyDescent="0.25">
      <c r="B30" s="17"/>
      <c r="C30" s="4"/>
      <c r="D30" s="19"/>
      <c r="E30" s="4"/>
      <c r="F30" s="4"/>
      <c r="G30" s="4"/>
      <c r="H30" s="4"/>
      <c r="I30" s="6"/>
      <c r="J30" s="4"/>
      <c r="K30" s="4"/>
      <c r="L30" s="15"/>
      <c r="M30" s="12"/>
      <c r="N30" s="12"/>
      <c r="O30" s="12"/>
      <c r="P30" s="12"/>
      <c r="Q30" s="12"/>
      <c r="R30" s="13"/>
      <c r="S30" s="12"/>
    </row>
    <row r="31" spans="2:20" x14ac:dyDescent="0.25">
      <c r="B31" s="17"/>
      <c r="C31" s="4"/>
      <c r="D31" s="19"/>
      <c r="E31" s="4"/>
      <c r="F31" s="4"/>
      <c r="G31" s="4"/>
      <c r="H31" s="4"/>
      <c r="I31" s="6"/>
      <c r="J31" s="4"/>
      <c r="K31" s="4"/>
      <c r="L31" s="15"/>
      <c r="M31" s="12"/>
      <c r="N31" s="12"/>
      <c r="O31" s="12"/>
      <c r="P31" s="12"/>
      <c r="Q31" s="12"/>
      <c r="R31" s="13"/>
      <c r="S31" s="12"/>
    </row>
    <row r="32" spans="2:20" x14ac:dyDescent="0.25">
      <c r="B32" s="17"/>
      <c r="C32" s="4"/>
      <c r="D32" s="19"/>
      <c r="E32" s="4"/>
      <c r="F32" s="4"/>
      <c r="G32" s="4"/>
      <c r="H32" s="4"/>
      <c r="I32" s="6"/>
      <c r="J32" s="4"/>
      <c r="K32" s="4"/>
      <c r="L32" s="15"/>
      <c r="M32" s="12"/>
      <c r="N32" s="12"/>
      <c r="O32" s="12"/>
      <c r="P32" s="12"/>
      <c r="Q32" s="12"/>
      <c r="R32" s="13"/>
      <c r="S32" s="12"/>
    </row>
    <row r="33" spans="2:19" x14ac:dyDescent="0.25">
      <c r="B33" s="17"/>
      <c r="C33" s="4"/>
      <c r="D33" s="19"/>
      <c r="E33" s="4"/>
      <c r="F33" s="4"/>
      <c r="G33" s="4"/>
      <c r="H33" s="4"/>
      <c r="I33" s="6"/>
      <c r="J33" s="4"/>
      <c r="K33" s="4"/>
      <c r="L33" s="15"/>
      <c r="M33" s="12"/>
      <c r="N33" s="12"/>
      <c r="O33" s="12"/>
      <c r="P33" s="12"/>
      <c r="Q33" s="12"/>
      <c r="R33" s="13"/>
      <c r="S33" s="12"/>
    </row>
    <row r="34" spans="2:19" x14ac:dyDescent="0.25">
      <c r="B34" s="17"/>
      <c r="C34" s="4"/>
      <c r="D34" s="19"/>
      <c r="E34" s="4"/>
      <c r="F34" s="4"/>
      <c r="G34" s="4"/>
      <c r="H34" s="4"/>
      <c r="I34" s="6"/>
      <c r="J34" s="4"/>
      <c r="K34" s="4"/>
      <c r="L34" s="15"/>
      <c r="M34" s="12"/>
      <c r="N34" s="12"/>
      <c r="O34" s="12"/>
      <c r="P34" s="12"/>
      <c r="Q34" s="12"/>
      <c r="R34" s="13"/>
      <c r="S34" s="12"/>
    </row>
    <row r="35" spans="2:19" x14ac:dyDescent="0.25">
      <c r="B35" s="17"/>
      <c r="C35" s="4"/>
      <c r="D35" s="19"/>
      <c r="E35" s="4"/>
      <c r="F35" s="4"/>
      <c r="G35" s="4"/>
      <c r="H35" s="4"/>
      <c r="I35" s="6"/>
      <c r="J35" s="4"/>
      <c r="K35" s="4"/>
      <c r="L35" s="15"/>
      <c r="M35" s="12"/>
      <c r="N35" s="12"/>
      <c r="O35" s="12"/>
      <c r="P35" s="12"/>
      <c r="Q35" s="12"/>
      <c r="R35" s="13"/>
      <c r="S35" s="12"/>
    </row>
    <row r="36" spans="2:19" x14ac:dyDescent="0.25">
      <c r="B36" s="17"/>
      <c r="C36" s="4"/>
      <c r="D36" s="19"/>
      <c r="E36" s="4"/>
      <c r="F36" s="4"/>
      <c r="G36" s="4"/>
      <c r="H36" s="4"/>
      <c r="I36" s="6"/>
      <c r="J36" s="4"/>
      <c r="K36" s="4"/>
      <c r="L36" s="15"/>
      <c r="M36" s="12"/>
      <c r="N36" s="12"/>
      <c r="O36" s="12"/>
      <c r="P36" s="12"/>
      <c r="Q36" s="12"/>
      <c r="R36" s="13"/>
      <c r="S36" s="12"/>
    </row>
    <row r="37" spans="2:19" x14ac:dyDescent="0.25">
      <c r="B37" s="17"/>
      <c r="C37" s="4"/>
      <c r="D37" s="19"/>
      <c r="E37" s="4"/>
      <c r="F37" s="4"/>
      <c r="G37" s="4"/>
      <c r="H37" s="4"/>
      <c r="I37" s="6"/>
      <c r="J37" s="4"/>
      <c r="K37" s="4"/>
      <c r="L37" s="15"/>
      <c r="M37" s="12"/>
      <c r="N37" s="12"/>
      <c r="O37" s="12"/>
      <c r="P37" s="12"/>
      <c r="Q37" s="12"/>
      <c r="R37" s="13"/>
      <c r="S37" s="12"/>
    </row>
    <row r="38" spans="2:19" x14ac:dyDescent="0.25">
      <c r="B38" s="17"/>
      <c r="C38" s="4"/>
      <c r="D38" s="19"/>
      <c r="E38" s="4"/>
      <c r="F38" s="4"/>
      <c r="G38" s="4"/>
      <c r="H38" s="4"/>
      <c r="I38" s="6"/>
      <c r="J38" s="4"/>
      <c r="K38" s="4"/>
      <c r="L38" s="15"/>
      <c r="M38" s="12"/>
      <c r="N38" s="12"/>
      <c r="O38" s="12"/>
      <c r="P38" s="12"/>
      <c r="Q38" s="12"/>
      <c r="R38" s="13"/>
      <c r="S38" s="12"/>
    </row>
    <row r="39" spans="2:19" x14ac:dyDescent="0.25">
      <c r="B39" s="17"/>
      <c r="C39" s="4"/>
      <c r="D39" s="19"/>
      <c r="E39" s="4"/>
      <c r="F39" s="4"/>
      <c r="G39" s="4"/>
      <c r="H39" s="4"/>
      <c r="I39" s="6"/>
      <c r="J39" s="4"/>
      <c r="K39" s="4"/>
      <c r="L39" s="15"/>
      <c r="M39" s="12"/>
      <c r="N39" s="12"/>
      <c r="O39" s="12"/>
      <c r="P39" s="12"/>
      <c r="Q39" s="12"/>
      <c r="R39" s="13"/>
      <c r="S39" s="12"/>
    </row>
    <row r="40" spans="2:19" x14ac:dyDescent="0.25">
      <c r="B40" s="17"/>
      <c r="C40" s="4"/>
      <c r="D40" s="19"/>
      <c r="E40" s="4"/>
      <c r="F40" s="4"/>
      <c r="G40" s="4"/>
      <c r="H40" s="4"/>
      <c r="I40" s="6"/>
      <c r="J40" s="4"/>
      <c r="K40" s="4"/>
      <c r="L40" s="15"/>
      <c r="M40" s="12"/>
      <c r="N40" s="12"/>
      <c r="O40" s="12"/>
      <c r="P40" s="12"/>
      <c r="Q40" s="12"/>
      <c r="R40" s="13"/>
      <c r="S40" s="12"/>
    </row>
    <row r="41" spans="2:19" x14ac:dyDescent="0.25">
      <c r="B41" s="17"/>
      <c r="C41" s="4"/>
      <c r="D41" s="19"/>
      <c r="E41" s="4"/>
      <c r="F41" s="4"/>
      <c r="G41" s="4"/>
      <c r="H41" s="4"/>
      <c r="I41" s="6"/>
      <c r="J41" s="4"/>
      <c r="K41" s="4"/>
      <c r="L41" s="15"/>
      <c r="M41" s="12"/>
      <c r="N41" s="12"/>
      <c r="O41" s="12"/>
      <c r="P41" s="12"/>
      <c r="Q41" s="12"/>
      <c r="R41" s="13"/>
      <c r="S41" s="12"/>
    </row>
    <row r="42" spans="2:19" x14ac:dyDescent="0.25">
      <c r="B42" s="17"/>
      <c r="C42" s="4"/>
      <c r="D42" s="19"/>
      <c r="E42" s="4"/>
      <c r="F42" s="4"/>
      <c r="G42" s="4"/>
      <c r="H42" s="4"/>
      <c r="I42" s="6"/>
      <c r="J42" s="4"/>
      <c r="K42" s="4"/>
      <c r="L42" s="15"/>
      <c r="M42" s="12"/>
      <c r="N42" s="12"/>
      <c r="O42" s="12"/>
      <c r="P42" s="12"/>
      <c r="Q42" s="12"/>
      <c r="R42" s="13"/>
      <c r="S42" s="12"/>
    </row>
    <row r="43" spans="2:19" ht="15.75" thickBot="1" x14ac:dyDescent="0.3">
      <c r="B43" s="18"/>
      <c r="C43" s="4"/>
      <c r="D43" s="20"/>
      <c r="E43" s="8"/>
      <c r="F43" s="8"/>
      <c r="G43" s="8"/>
      <c r="H43" s="8"/>
      <c r="I43" s="9"/>
      <c r="J43" s="8"/>
      <c r="K43" s="8"/>
      <c r="L43" s="16"/>
      <c r="M43" s="12"/>
      <c r="N43" s="12"/>
      <c r="O43" s="12"/>
      <c r="P43" s="12"/>
      <c r="Q43" s="12"/>
      <c r="R43" s="13"/>
      <c r="S43" s="12"/>
    </row>
    <row r="44" spans="2:19" x14ac:dyDescent="0.25">
      <c r="I44" s="2"/>
      <c r="M44" s="12"/>
      <c r="N44" s="12"/>
      <c r="O44" s="12"/>
      <c r="P44" s="12"/>
      <c r="Q44" s="12"/>
      <c r="R44" s="12"/>
      <c r="S44" s="12"/>
    </row>
    <row r="45" spans="2:19" x14ac:dyDescent="0.25">
      <c r="I45" s="2"/>
      <c r="M45" s="12"/>
      <c r="N45" s="12"/>
      <c r="O45" s="12"/>
      <c r="P45" s="12"/>
      <c r="Q45" s="12"/>
      <c r="R45" s="12"/>
      <c r="S45" s="12"/>
    </row>
    <row r="46" spans="2:19" x14ac:dyDescent="0.25">
      <c r="I46" s="2"/>
    </row>
    <row r="47" spans="2:19" x14ac:dyDescent="0.25">
      <c r="I47" s="2"/>
    </row>
    <row r="48" spans="2:19" x14ac:dyDescent="0.25">
      <c r="I48" s="2"/>
    </row>
    <row r="49" spans="9:9" x14ac:dyDescent="0.25">
      <c r="I49" s="2"/>
    </row>
    <row r="50" spans="9:9" x14ac:dyDescent="0.25">
      <c r="I50" s="2"/>
    </row>
    <row r="51" spans="9:9" x14ac:dyDescent="0.25">
      <c r="I51" s="2"/>
    </row>
    <row r="52" spans="9:9" x14ac:dyDescent="0.25">
      <c r="I52" s="2"/>
    </row>
    <row r="53" spans="9:9" x14ac:dyDescent="0.25">
      <c r="I53" s="2"/>
    </row>
    <row r="54" spans="9:9" x14ac:dyDescent="0.25">
      <c r="I54" s="2"/>
    </row>
    <row r="55" spans="9:9" x14ac:dyDescent="0.25">
      <c r="I55" s="2"/>
    </row>
    <row r="56" spans="9:9" x14ac:dyDescent="0.25">
      <c r="I56" s="2"/>
    </row>
    <row r="57" spans="9:9" x14ac:dyDescent="0.25">
      <c r="I57" s="2"/>
    </row>
    <row r="58" spans="9:9" x14ac:dyDescent="0.25">
      <c r="I58" s="2"/>
    </row>
    <row r="59" spans="9:9" x14ac:dyDescent="0.25">
      <c r="I59" s="2"/>
    </row>
    <row r="60" spans="9:9" x14ac:dyDescent="0.25">
      <c r="I60" s="2"/>
    </row>
    <row r="61" spans="9:9" x14ac:dyDescent="0.25">
      <c r="I61" s="2"/>
    </row>
    <row r="62" spans="9:9" x14ac:dyDescent="0.25">
      <c r="I62" s="2"/>
    </row>
    <row r="63" spans="9:9" x14ac:dyDescent="0.25">
      <c r="I63" s="2"/>
    </row>
    <row r="64" spans="9:9" x14ac:dyDescent="0.25">
      <c r="I64" s="2"/>
    </row>
    <row r="65" spans="9:9" x14ac:dyDescent="0.25">
      <c r="I65" s="2"/>
    </row>
    <row r="66" spans="9:9" x14ac:dyDescent="0.25">
      <c r="I66" s="2"/>
    </row>
    <row r="67" spans="9:9" x14ac:dyDescent="0.25">
      <c r="I67" s="2"/>
    </row>
    <row r="68" spans="9:9" x14ac:dyDescent="0.25">
      <c r="I68" s="2"/>
    </row>
    <row r="69" spans="9:9" x14ac:dyDescent="0.25">
      <c r="I69" s="2"/>
    </row>
    <row r="70" spans="9:9" x14ac:dyDescent="0.25">
      <c r="I70" s="2"/>
    </row>
    <row r="71" spans="9:9" x14ac:dyDescent="0.25">
      <c r="I71" s="2"/>
    </row>
    <row r="72" spans="9:9" x14ac:dyDescent="0.25">
      <c r="I72" s="2"/>
    </row>
    <row r="73" spans="9:9" x14ac:dyDescent="0.25">
      <c r="I73" s="2"/>
    </row>
    <row r="74" spans="9:9" x14ac:dyDescent="0.25">
      <c r="I74" s="2"/>
    </row>
    <row r="75" spans="9:9" x14ac:dyDescent="0.25">
      <c r="I75" s="2"/>
    </row>
    <row r="76" spans="9:9" x14ac:dyDescent="0.25">
      <c r="I76" s="2"/>
    </row>
    <row r="77" spans="9:9" x14ac:dyDescent="0.25">
      <c r="I77" s="2"/>
    </row>
    <row r="78" spans="9:9" x14ac:dyDescent="0.25">
      <c r="I78" s="2"/>
    </row>
    <row r="79" spans="9:9" x14ac:dyDescent="0.25">
      <c r="I79" s="2"/>
    </row>
    <row r="80" spans="9:9" x14ac:dyDescent="0.25">
      <c r="I80" s="2"/>
    </row>
    <row r="81" spans="9:9" x14ac:dyDescent="0.25">
      <c r="I81" s="2"/>
    </row>
    <row r="82" spans="9:9" x14ac:dyDescent="0.25">
      <c r="I82" s="2"/>
    </row>
    <row r="83" spans="9:9" x14ac:dyDescent="0.25">
      <c r="I83" s="2"/>
    </row>
    <row r="84" spans="9:9" x14ac:dyDescent="0.25">
      <c r="I84" s="2"/>
    </row>
    <row r="85" spans="9:9" x14ac:dyDescent="0.25">
      <c r="I85" s="2"/>
    </row>
    <row r="86" spans="9:9" x14ac:dyDescent="0.25">
      <c r="I86" s="2"/>
    </row>
    <row r="87" spans="9:9" x14ac:dyDescent="0.25">
      <c r="I87" s="2"/>
    </row>
    <row r="88" spans="9:9" x14ac:dyDescent="0.25">
      <c r="I88" s="2"/>
    </row>
    <row r="89" spans="9:9" x14ac:dyDescent="0.25">
      <c r="I89" s="2"/>
    </row>
    <row r="90" spans="9:9" x14ac:dyDescent="0.25">
      <c r="I90" s="2"/>
    </row>
    <row r="91" spans="9:9" x14ac:dyDescent="0.25">
      <c r="I91" s="2"/>
    </row>
    <row r="92" spans="9:9" x14ac:dyDescent="0.25">
      <c r="I92" s="2"/>
    </row>
    <row r="93" spans="9:9" x14ac:dyDescent="0.25">
      <c r="I93" s="2"/>
    </row>
    <row r="94" spans="9:9" x14ac:dyDescent="0.25">
      <c r="I94" s="2"/>
    </row>
    <row r="95" spans="9:9" x14ac:dyDescent="0.25">
      <c r="I95" s="2"/>
    </row>
    <row r="96" spans="9:9" x14ac:dyDescent="0.25">
      <c r="I96" s="2"/>
    </row>
    <row r="97" spans="9:9" x14ac:dyDescent="0.25">
      <c r="I97" s="2"/>
    </row>
  </sheetData>
  <dataValidations count="1">
    <dataValidation type="list" allowBlank="1" showInputMessage="1" showErrorMessage="1" sqref="C5">
      <formula1>"7A,7B,8A,8B,8A,8B"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Excel 4.0 Macros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data_diri_siswa</vt:lpstr>
      <vt:lpstr>HOME</vt:lpstr>
      <vt:lpstr>ABSEN 7a</vt:lpstr>
      <vt:lpstr>ABSEN 7B</vt:lpstr>
      <vt:lpstr>Data_nilai_siswa</vt:lpstr>
      <vt:lpstr>REPOT_NILAI_PERSISWA</vt:lpstr>
      <vt:lpstr>kartu_siswa</vt:lpstr>
      <vt:lpstr>data_perkelas</vt:lpstr>
      <vt:lpstr>Macro1</vt:lpstr>
      <vt:lpstr>Macro3</vt:lpstr>
      <vt:lpstr>Macro2</vt:lpstr>
      <vt:lpstr>DATA</vt:lpstr>
      <vt:lpstr>kelas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jeri rismawan</cp:lastModifiedBy>
  <cp:lastPrinted>2018-09-23T07:13:14Z</cp:lastPrinted>
  <dcterms:created xsi:type="dcterms:W3CDTF">2017-09-21T05:15:24Z</dcterms:created>
  <dcterms:modified xsi:type="dcterms:W3CDTF">2019-02-22T10:23:26Z</dcterms:modified>
</cp:coreProperties>
</file>